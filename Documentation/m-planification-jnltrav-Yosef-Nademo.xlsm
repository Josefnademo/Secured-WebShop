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00000000-0000-0000-0000-000000000000}"/>
  <workbookPr updateLinks="never" codeName="ThisWorkbook"/>
  <mc:AlternateContent xmlns:mc="http://schemas.openxmlformats.org/markup-compatibility/2006">
    <mc:Choice Requires="x15">
      <x15ac:absPath xmlns:x15ac="http://schemas.microsoft.com/office/spreadsheetml/2010/11/ac" url="C:\Users\pn25kdv\Documents\GitHub\Secured-WebShop\Documentation\"/>
    </mc:Choice>
  </mc:AlternateContent>
  <xr:revisionPtr revIDLastSave="0" documentId="13_ncr:1_{05901B4F-6851-4038-A860-6352A6FD469F}" xr6:coauthVersionLast="47" xr6:coauthVersionMax="47" xr10:uidLastSave="{00000000-0000-0000-0000-000000000000}"/>
  <bookViews>
    <workbookView xWindow="-120" yWindow="-120" windowWidth="29040" windowHeight="15840" activeTab="2" xr2:uid="{00000000-000D-0000-FFFF-FFFF00000000}"/>
  </bookViews>
  <sheets>
    <sheet name="Donnees" sheetId="7" r:id="rId1"/>
    <sheet name="Planning" sheetId="155" r:id="rId2"/>
    <sheet name="JDT" sheetId="156" r:id="rId3"/>
    <sheet name="DiagramHeader" sheetId="10" state="hidden" r:id="rId4"/>
    <sheet name="DiagramFooter" sheetId="130" state="hidden" r:id="rId5"/>
    <sheet name="PlanificationWeek" sheetId="11" state="hidden" r:id="rId6"/>
    <sheet name="achievementWeek" sheetId="154" state="hidden" r:id="rId7"/>
  </sheets>
  <externalReferences>
    <externalReference r:id="rId8"/>
  </externalReferences>
  <definedNames>
    <definedName name="a">[1]Donnees!$C$20:$C$45</definedName>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6">achievementWeek!$A$1:$D$19</definedName>
    <definedName name="s">[1]Donnees!$C$20:$C$45</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1" i="156" l="1"/>
  <c r="B101" i="156"/>
  <c r="B121" i="156"/>
  <c r="B111" i="155"/>
  <c r="B97" i="155"/>
  <c r="B83" i="155"/>
  <c r="B69" i="155"/>
  <c r="B55" i="155"/>
  <c r="B41" i="155"/>
  <c r="B27" i="155"/>
  <c r="B13" i="155"/>
  <c r="B18" i="154"/>
  <c r="B13" i="11" l="1"/>
</calcChain>
</file>

<file path=xl/sharedStrings.xml><?xml version="1.0" encoding="utf-8"?>
<sst xmlns="http://schemas.openxmlformats.org/spreadsheetml/2006/main" count="479" uniqueCount="123">
  <si>
    <t>Module :</t>
  </si>
  <si>
    <t>P_app_183</t>
  </si>
  <si>
    <t>Prénom - nom :</t>
  </si>
  <si>
    <t>Yosef Nademo</t>
  </si>
  <si>
    <t>Classe :</t>
  </si>
  <si>
    <t>CID2B</t>
  </si>
  <si>
    <t>Lieu :</t>
  </si>
  <si>
    <t>ETML - Vennes</t>
  </si>
  <si>
    <t>Date Début :</t>
  </si>
  <si>
    <t>Date Fin:</t>
  </si>
  <si>
    <t>Nombre de semaines:</t>
  </si>
  <si>
    <t>Nombre de Périodes/Semaine :</t>
  </si>
  <si>
    <t>Nombre de 1/4 heure/Période:</t>
  </si>
  <si>
    <t xml:space="preserve"> </t>
  </si>
  <si>
    <t>Liste des tâches</t>
  </si>
  <si>
    <t>Tâche obligatoire:</t>
  </si>
  <si>
    <t>Absence - Imprévus</t>
  </si>
  <si>
    <t>lire la documentation fournie</t>
  </si>
  <si>
    <t>Documentation</t>
  </si>
  <si>
    <t>Code</t>
  </si>
  <si>
    <t>Base de donnée</t>
  </si>
  <si>
    <t>Docker</t>
  </si>
  <si>
    <t>Test de fonctionnement</t>
  </si>
  <si>
    <t>Meeting</t>
  </si>
  <si>
    <t>GitHub</t>
  </si>
  <si>
    <t>Semaine</t>
  </si>
  <si>
    <t>Tâche</t>
  </si>
  <si>
    <t>Durée
[1/4 h.]</t>
  </si>
  <si>
    <r>
      <t>Explications:</t>
    </r>
    <r>
      <rPr>
        <b/>
        <sz val="10"/>
        <rFont val="Century Gothic"/>
        <family val="2"/>
        <scheme val="minor"/>
      </rPr>
      <t xml:space="preserve"> qu'est-ce qui se fait et comment ?</t>
    </r>
  </si>
  <si>
    <t>Liens, références, …</t>
  </si>
  <si>
    <t>Question à l'enseignant</t>
  </si>
  <si>
    <t>Lire le CDC</t>
  </si>
  <si>
    <t>Mise en place du repo GitHub(et github desktop)</t>
  </si>
  <si>
    <t xml:space="preserve">Mise en place du document .xlsm, du journal de travail et du planning </t>
  </si>
  <si>
    <t>Planning du projet (2 semaines)</t>
  </si>
  <si>
    <t>Ajout au groupe docker</t>
  </si>
  <si>
    <t>Début du rapport</t>
  </si>
  <si>
    <t>modification du Journal de travail;Mise à jour du journal de travail pour refléter les progrès réalisés sur les différentes parties du projet</t>
  </si>
  <si>
    <t>Document ci-présent</t>
  </si>
  <si>
    <t>Total semaine</t>
  </si>
  <si>
    <t>Max. 9</t>
  </si>
  <si>
    <t>Développement du code HTML et CSS pour la structure et la mise en page du site web. Cela inclut la création des différentes sections du site</t>
  </si>
  <si>
    <t>https://www.w3schools.com/CSSref/sel_hover.php</t>
  </si>
  <si>
    <t>rapport</t>
  </si>
  <si>
    <t>DB</t>
  </si>
  <si>
    <t>creation de MCD MLD de base de donnees</t>
  </si>
  <si>
    <t>server</t>
  </si>
  <si>
    <t>Optimisation des fonctionnalités côté serveur, y compris l'amélioration des performances des API, la gestion des requêtes HTTP, *un peu plus tard* la mise en place de mécanismes de sécurité (authentification, cryptage des données, etc.), et l'amélioration de l'intégration avec la partie front-end du site web (en s'assurant que le serveur répond correctement aux requêtes et gère efficacement les données).</t>
  </si>
  <si>
    <t>docker</t>
  </si>
  <si>
    <t>Configuration de Docker pour faciliter la gestion des environnements de développement, de test et de production. Cela inclut la création de fichiers Dockerfile pour construire des images, l'utilisation de Docker Compose pour orchestrer plusieurs containers, et l'optimisation des performances en configurant correctement les ressources et la mise en réseau des containers.</t>
  </si>
  <si>
    <t>js</t>
  </si>
  <si>
    <t>Amélioration du code JS pour augmenter l'interactivité du site web. Cela inclut l'ajout de fonctionnalités côté client telles que des animations, des formulaires dynamiques, la gestion des événements utilisateurs, et l'intégration avec des API .</t>
  </si>
  <si>
    <t>Début:</t>
  </si>
  <si>
    <t>Introduction avec l'enseignant</t>
  </si>
  <si>
    <t>Optimisation des fonctionnalités côté serveur, y compris l'amélioration des performances des API, la gestion des requêtes HTTP, *un peu plus tard* la mise en place de mécanismes de sécurité (authentification, cryptage des données, etc.), et l'amélioration de l'intégration avec la partie front-end du site web (en s'assurant que le serveur répond correctement aux requêtes et gère efficacement les données).  Resolution des problemes ave container et serveur</t>
  </si>
  <si>
    <t>Configuration de Docker pour faciliter la gestion des environnements de développement, de test et de production. Cela inclut la création de fichiers Dockerfile pour construire des images, l'utilisation de Docker Compose pour orchestrer plusieurs containers, et l'optimisation des performances en configurant correctement les ressources et la mise en réseau des containers.  Resolution des problemes ave container et serveur. Commenter et expliquer des commandes dans nodejs.dockerfile</t>
  </si>
  <si>
    <t>Tâches - objectifs</t>
  </si>
  <si>
    <t>Nb 1/4 heure</t>
  </si>
  <si>
    <t>Total planifié</t>
  </si>
  <si>
    <t>Total réalisé</t>
  </si>
  <si>
    <t>lundi 13 janvier 2025</t>
  </si>
  <si>
    <t>Durée</t>
  </si>
  <si>
    <t>[1/4 h.]</t>
  </si>
  <si>
    <t>lundi 20 janvier 2025</t>
  </si>
  <si>
    <t>docker system prune -a</t>
  </si>
  <si>
    <t>docker-compose up --build -d</t>
  </si>
  <si>
    <t xml:space="preserve">User.js ; server.js ; package.json ; </t>
  </si>
  <si>
    <t>lundi 27 janvier 2025</t>
  </si>
  <si>
    <t>Question à l'enseignant;La réunion a pour but de clarifier les objectifs du projet, de discuter des tâches à faire</t>
  </si>
  <si>
    <t>Html/css/server</t>
  </si>
  <si>
    <t>creation des maquette des pages login, registraion, et implimentation;Créer l'interface utilisateur de l'application et mettre en place le serveur pour gérer les demandes de connexion et d'enregistrement, en utilisant HTML, CSS et Node.js/Express pour le back-end.</t>
  </si>
  <si>
    <t>db</t>
  </si>
  <si>
    <t>instalation de mysql2 ; creation de db(tables, modeles,integration avec serveur et script);Mettre en place une base de données MySQL pour stocker les informations des utilisateurs, y compris leurs noms d'utilisateur et mots de passe hachés.Connexion de l'application Node.js à la base de données via mysql2.</t>
  </si>
  <si>
    <t>model(USER)</t>
  </si>
  <si>
    <t>Créer un modèle User pour gérer les utilisateurs dans l'application, en assurant la gestion des mots de passe sécurisés via bcrypt et l'interaction avec la base de données.</t>
  </si>
  <si>
    <t>installation- correction des erreur( avec docker)</t>
  </si>
  <si>
    <t>installation de mysql2 ; installation de bcrypt ;  L'item nodejs ne marchais pas</t>
  </si>
  <si>
    <t>vendredi 07 février 2025</t>
  </si>
  <si>
    <t>creation des maquette des pages login, registraion, et implimentation;Créer l'interface utilisateur de l'application et mettre en place le serveur pour gérer les demandes de connexion et d'enregistrement, en utilisant HTML, CSS et Node.js/Express pour le back-end. Amelioration des pages, logique de emplacement des fichiers, relations entre eux. Modifictaion des forms. connection de css</t>
  </si>
  <si>
    <t>iAmelioration-addaptation de db(tables, modeles,integration avec serveur et script);Mettre en place une base de données MySQL pour stocker les informations des utilisateurs, y compris leurs noms d'utilisateur et mots de passe hachés.Connexion de l'application Node.js à la base de données via mysql2.  Finaliser integration avec le code et logique de script et pages</t>
  </si>
  <si>
    <t>commancer les travux sur mon rapport, structurisation</t>
  </si>
  <si>
    <t>lundi 17 février 2025</t>
  </si>
  <si>
    <t>lundi 24 février 2025</t>
  </si>
  <si>
    <t>lundi 3 mars 2025</t>
  </si>
  <si>
    <t>Evaluation des competences</t>
  </si>
  <si>
    <t>Creation des roles</t>
  </si>
  <si>
    <t>implementation de page d'adimn</t>
  </si>
  <si>
    <t>page d'admin</t>
  </si>
  <si>
    <t>page de details</t>
  </si>
  <si>
    <t>Creation de scripte de creation</t>
  </si>
  <si>
    <t>routes</t>
  </si>
  <si>
    <t>par exemple: app.get(["/", "/home", "/accueil"]</t>
  </si>
  <si>
    <t>home, admin, details -modification</t>
  </si>
  <si>
    <t>app.get("/details", (req, res) =&gt; {      app.get("/logout", (req, res) =&gt; {</t>
  </si>
  <si>
    <t>registration, login    modification des fonctions dedans de ces routes</t>
  </si>
  <si>
    <t>lundi 14 février 2025</t>
  </si>
  <si>
    <t>adminController- routes admin</t>
  </si>
  <si>
    <t>adminController- routes admin, ajouter une fonction de recherche</t>
  </si>
  <si>
    <t>docker compose down -v                          docker system prune -a                              docker-compose up --build -d</t>
  </si>
  <si>
    <t>details.ejs</t>
  </si>
  <si>
    <t>admin.ejs</t>
  </si>
  <si>
    <t>page de details  (ul et li)</t>
  </si>
  <si>
    <t>implementation de page d'adimn (search box)</t>
  </si>
  <si>
    <t>page de details deconexion button</t>
  </si>
  <si>
    <t>implementation de page d'adimn  deconexion button</t>
  </si>
  <si>
    <t>[routes:home, admin,details, logout,registration, login ]</t>
  </si>
  <si>
    <t>Configuration d'environement du programme</t>
  </si>
  <si>
    <t xml:space="preserve"> details(jwt token), logout -modification</t>
  </si>
  <si>
    <t>RAPORRT(TEST)</t>
  </si>
  <si>
    <t>Login,details*route*</t>
  </si>
  <si>
    <t xml:space="preserve">correction de fonctionement des routes, leurs addaptivité. </t>
  </si>
  <si>
    <t>admin</t>
  </si>
  <si>
    <t>tous les utilisateurs ayant tout ou partie de ce nom</t>
  </si>
  <si>
    <t>correction de fonctionement des routes, leurs addaptivité. JWT token implementation</t>
  </si>
  <si>
    <t>code</t>
  </si>
  <si>
    <t xml:space="preserve">Travail chez moi </t>
  </si>
  <si>
    <t>correct import structure</t>
  </si>
  <si>
    <t>http rederecting to https with middleware,</t>
  </si>
  <si>
    <t>path for keys , .env </t>
  </si>
  <si>
    <t xml:space="preserve"> script de creation</t>
  </si>
  <si>
    <t>2h of debugging (docker ,etc..)</t>
  </si>
  <si>
    <t xml:space="preserve">bcypt,bcyptjs , docker </t>
  </si>
  <si>
    <t>v + complement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</si>
</sst>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u/>
      <sz val="10"/>
      <color theme="10"/>
      <name val="Century Gothic"/>
      <family val="2"/>
      <scheme val="minor"/>
    </font>
    <font>
      <u/>
      <sz val="10"/>
      <color rgb="FF0000FF"/>
      <name val="Century Gothic"/>
      <family val="2"/>
      <scheme val="minor"/>
    </font>
    <font>
      <sz val="10"/>
      <color rgb="FF24292E"/>
      <name val="Segoe UI"/>
      <family val="2"/>
    </font>
    <font>
      <sz val="11"/>
      <color rgb="FF24292E"/>
      <name val="Segoe UI"/>
      <family val="2"/>
    </font>
  </fonts>
  <fills count="19">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F2DCDB"/>
        <bgColor rgb="FF000000"/>
      </patternFill>
    </fill>
    <fill>
      <patternFill patternType="solid">
        <fgColor rgb="FFE6B8B7"/>
        <bgColor rgb="FF000000"/>
      </patternFill>
    </fill>
    <fill>
      <patternFill patternType="solid">
        <fgColor rgb="FF963634"/>
        <bgColor rgb="FF000000"/>
      </patternFill>
    </fill>
    <fill>
      <patternFill patternType="solid">
        <fgColor rgb="FFFFFF00"/>
        <bgColor indexed="64"/>
      </patternFill>
    </fill>
    <fill>
      <patternFill patternType="solid">
        <fgColor rgb="FFFFFF00"/>
        <bgColor rgb="FF000000"/>
      </patternFill>
    </fill>
  </fills>
  <borders count="3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style="medium">
        <color indexed="64"/>
      </left>
      <right style="medium">
        <color indexed="64"/>
      </right>
      <top style="dashed">
        <color indexed="64"/>
      </top>
      <bottom style="thin">
        <color indexed="64"/>
      </bottom>
      <diagonal/>
    </border>
    <border>
      <left/>
      <right style="medium">
        <color indexed="64"/>
      </right>
      <top style="dashed">
        <color indexed="64"/>
      </top>
      <bottom/>
      <diagonal/>
    </border>
  </borders>
  <cellStyleXfs count="5">
    <xf numFmtId="0" fontId="0" fillId="0" borderId="0"/>
    <xf numFmtId="0" fontId="1" fillId="0" borderId="0" applyNumberFormat="0" applyFill="0" applyBorder="0" applyAlignment="0" applyProtection="0">
      <alignment vertical="top"/>
      <protection locked="0"/>
    </xf>
    <xf numFmtId="0" fontId="8" fillId="0" borderId="0"/>
    <xf numFmtId="0" fontId="5" fillId="0" borderId="0"/>
    <xf numFmtId="0" fontId="16" fillId="0" borderId="0" applyNumberFormat="0" applyFill="0" applyBorder="0" applyAlignment="0" applyProtection="0"/>
  </cellStyleXfs>
  <cellXfs count="13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0" fillId="0" borderId="2" xfId="0" applyBorder="1" applyAlignment="1" applyProtection="1">
      <alignment horizontal="left" vertical="top" wrapText="1"/>
      <protection locked="0"/>
    </xf>
    <xf numFmtId="0" fontId="9" fillId="4" borderId="13" xfId="0" applyFont="1" applyFill="1" applyBorder="1" applyAlignment="1">
      <alignment horizontal="left" vertical="top" wrapText="1"/>
    </xf>
    <xf numFmtId="0" fontId="0" fillId="0" borderId="2" xfId="1" applyFont="1" applyFill="1" applyBorder="1" applyAlignment="1" applyProtection="1">
      <alignment horizontal="center" vertical="center" wrapText="1"/>
      <protection locked="0"/>
    </xf>
    <xf numFmtId="0" fontId="0" fillId="0" borderId="0" xfId="0" applyAlignment="1">
      <alignment wrapText="1"/>
    </xf>
    <xf numFmtId="0" fontId="16" fillId="0" borderId="2" xfId="4" applyBorder="1" applyAlignment="1" applyProtection="1">
      <alignment horizontal="left" vertical="top" wrapText="1"/>
      <protection locked="0"/>
    </xf>
    <xf numFmtId="0" fontId="6" fillId="14" borderId="14" xfId="0" applyFont="1" applyFill="1" applyBorder="1" applyAlignment="1">
      <alignment horizontal="center" vertical="center"/>
    </xf>
    <xf numFmtId="0" fontId="7" fillId="14" borderId="12" xfId="0" applyFont="1" applyFill="1" applyBorder="1" applyAlignment="1">
      <alignment horizontal="centerContinuous" vertical="center"/>
    </xf>
    <xf numFmtId="0" fontId="6" fillId="14" borderId="14" xfId="0" applyFont="1" applyFill="1" applyBorder="1" applyAlignment="1">
      <alignment horizontal="right" vertical="center"/>
    </xf>
    <xf numFmtId="0" fontId="7" fillId="14" borderId="13" xfId="0" applyFont="1" applyFill="1" applyBorder="1" applyAlignment="1">
      <alignment horizontal="left" vertical="center"/>
    </xf>
    <xf numFmtId="0" fontId="11" fillId="15" borderId="20" xfId="0" applyFont="1" applyFill="1" applyBorder="1" applyAlignment="1">
      <alignment horizontal="center" vertical="center" wrapText="1"/>
    </xf>
    <xf numFmtId="0" fontId="11" fillId="15" borderId="32" xfId="0" applyFont="1"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left" vertical="top" wrapText="1"/>
    </xf>
    <xf numFmtId="0" fontId="0" fillId="0" borderId="2" xfId="0" applyBorder="1" applyAlignment="1">
      <alignment horizontal="center" vertical="center" wrapText="1"/>
    </xf>
    <xf numFmtId="0" fontId="0" fillId="0" borderId="2" xfId="0" applyBorder="1" applyAlignment="1">
      <alignment horizontal="left" vertical="top" wrapText="1"/>
    </xf>
    <xf numFmtId="0" fontId="0" fillId="0" borderId="33" xfId="0" applyBorder="1" applyAlignment="1">
      <alignment horizontal="center" vertical="center" wrapText="1"/>
    </xf>
    <xf numFmtId="0" fontId="0" fillId="0" borderId="33" xfId="0" applyBorder="1" applyAlignment="1">
      <alignment horizontal="left" vertical="top" wrapText="1"/>
    </xf>
    <xf numFmtId="0" fontId="0" fillId="0" borderId="3" xfId="0" applyBorder="1" applyAlignment="1">
      <alignment horizontal="center" vertical="center" wrapText="1"/>
    </xf>
    <xf numFmtId="0" fontId="0" fillId="0" borderId="3" xfId="0" applyBorder="1" applyAlignment="1">
      <alignment horizontal="left" vertical="top" wrapText="1"/>
    </xf>
    <xf numFmtId="0" fontId="0" fillId="15" borderId="15" xfId="0" applyFill="1" applyBorder="1" applyAlignment="1">
      <alignment horizontal="center" vertical="center" wrapText="1"/>
    </xf>
    <xf numFmtId="0" fontId="0" fillId="15" borderId="13" xfId="0" applyFill="1" applyBorder="1" applyAlignment="1">
      <alignment horizontal="left" vertical="top" wrapText="1"/>
    </xf>
    <xf numFmtId="0" fontId="9" fillId="15" borderId="13" xfId="0" applyFont="1" applyFill="1" applyBorder="1" applyAlignment="1">
      <alignment horizontal="left" vertical="top" wrapText="1"/>
    </xf>
    <xf numFmtId="0" fontId="10" fillId="16" borderId="0" xfId="0" applyFont="1" applyFill="1" applyAlignment="1">
      <alignment horizontal="center"/>
    </xf>
    <xf numFmtId="0" fontId="17" fillId="0" borderId="2" xfId="0" applyFont="1"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3" xfId="0" applyBorder="1" applyAlignment="1">
      <alignment horizontal="center" vertical="center" wrapText="1"/>
    </xf>
    <xf numFmtId="0" fontId="0" fillId="0" borderId="2" xfId="0" applyFont="1" applyBorder="1" applyAlignment="1" applyProtection="1">
      <alignment horizontal="left" vertical="top" wrapText="1"/>
      <protection locked="0"/>
    </xf>
    <xf numFmtId="0" fontId="0" fillId="0" borderId="2" xfId="0" applyBorder="1" applyAlignment="1">
      <alignment horizontal="left" vertical="center" wrapText="1"/>
    </xf>
    <xf numFmtId="0" fontId="0" fillId="0" borderId="33" xfId="0" applyNumberFormat="1" applyBorder="1" applyAlignment="1">
      <alignment wrapText="1"/>
    </xf>
    <xf numFmtId="0" fontId="0" fillId="0" borderId="32" xfId="0" applyBorder="1" applyAlignment="1">
      <alignment horizontal="center" vertical="center" wrapText="1"/>
    </xf>
    <xf numFmtId="0" fontId="0" fillId="0" borderId="32" xfId="0" applyBorder="1" applyAlignment="1">
      <alignment horizontal="left" vertical="top" wrapText="1"/>
    </xf>
    <xf numFmtId="0" fontId="0" fillId="0" borderId="36" xfId="0" applyBorder="1" applyAlignment="1">
      <alignment horizontal="center" vertical="center" wrapText="1"/>
    </xf>
    <xf numFmtId="0" fontId="0" fillId="0" borderId="36" xfId="0" applyBorder="1" applyAlignment="1">
      <alignment horizontal="left" vertical="top" wrapText="1"/>
    </xf>
    <xf numFmtId="0" fontId="0" fillId="0" borderId="37" xfId="0" applyBorder="1" applyAlignment="1">
      <alignment horizontal="center" vertical="center" wrapText="1"/>
    </xf>
    <xf numFmtId="0" fontId="0" fillId="0" borderId="37" xfId="0" applyBorder="1" applyAlignment="1">
      <alignment horizontal="left" vertical="top" wrapText="1"/>
    </xf>
    <xf numFmtId="0" fontId="0" fillId="0" borderId="2" xfId="0" applyBorder="1" applyAlignment="1">
      <alignment horizontal="center" vertical="top" wrapText="1"/>
    </xf>
    <xf numFmtId="0" fontId="0" fillId="17" borderId="2" xfId="1" applyFont="1" applyFill="1" applyBorder="1" applyAlignment="1" applyProtection="1">
      <alignment horizontal="center" vertical="center" wrapText="1"/>
      <protection locked="0"/>
    </xf>
    <xf numFmtId="0" fontId="18" fillId="0" borderId="0" xfId="0" applyFont="1" applyAlignment="1">
      <alignment vertical="center" wrapText="1"/>
    </xf>
    <xf numFmtId="0" fontId="19" fillId="0" borderId="0" xfId="0" applyFont="1"/>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6" fillId="15" borderId="20" xfId="0" applyFont="1" applyFill="1" applyBorder="1" applyAlignment="1">
      <alignment horizontal="center" vertical="center"/>
    </xf>
    <xf numFmtId="0" fontId="6" fillId="15" borderId="32"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applyAlignment="1"/>
    <xf numFmtId="0" fontId="6" fillId="18" borderId="14" xfId="0" applyFont="1" applyFill="1" applyBorder="1" applyAlignment="1">
      <alignment horizontal="center" vertical="center"/>
    </xf>
    <xf numFmtId="0" fontId="7" fillId="14" borderId="15" xfId="0" applyFont="1" applyFill="1" applyBorder="1" applyAlignment="1">
      <alignment horizontal="left" vertical="center"/>
    </xf>
  </cellXfs>
  <cellStyles count="5">
    <cellStyle name="Hyperlink" xfId="4" xr:uid="{00000000-000B-0000-0000-000008000000}"/>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n25kdv\Downloads\T-P_app_183-ThodeMateo-planification_jdt.xlsm" TargetMode="External"/><Relationship Id="rId1" Type="http://schemas.openxmlformats.org/officeDocument/2006/relationships/externalLinkPath" Target="/Users/pn25kdv/Downloads/T-P_app_183-ThodeMateo-planification_jd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onnees"/>
      <sheetName val="Diagramme"/>
      <sheetName val="DiagramHeader"/>
      <sheetName val="DiagramFooter"/>
      <sheetName val="PlanificationWeek"/>
      <sheetName val="Planning"/>
      <sheetName val="achievementWeek"/>
      <sheetName val="JNLTRAV"/>
    </sheetNames>
    <sheetDataSet>
      <sheetData sheetId="0">
        <row r="20">
          <cell r="C20" t="str">
            <v>Absence - Imprévus</v>
          </cell>
        </row>
        <row r="21">
          <cell r="C21" t="str">
            <v>Documentation</v>
          </cell>
        </row>
        <row r="22">
          <cell r="C22" t="str">
            <v>Code</v>
          </cell>
        </row>
        <row r="23">
          <cell r="C23" t="str">
            <v>Base de donnée</v>
          </cell>
        </row>
        <row r="24">
          <cell r="C24" t="str">
            <v>Docker</v>
          </cell>
        </row>
        <row r="25">
          <cell r="C25" t="str">
            <v>Test</v>
          </cell>
        </row>
        <row r="26">
          <cell r="C26" t="str">
            <v>Meeting</v>
          </cell>
        </row>
        <row r="27">
          <cell r="C27" t="str">
            <v>GitHub</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w3schools.com/CSSref/sel_hover.php" TargetMode="External"/><Relationship Id="rId2" Type="http://schemas.openxmlformats.org/officeDocument/2006/relationships/hyperlink" Target="https://www.w3schools.com/CSSref/sel_hover.php" TargetMode="External"/><Relationship Id="rId1" Type="http://schemas.openxmlformats.org/officeDocument/2006/relationships/hyperlink" Target="https://www.w3schools.com/CSSref/sel_hover.php"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w3schools.com/CSSref/sel_hover.php"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27" sqref="C27"/>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1</v>
      </c>
      <c r="D3" s="59"/>
      <c r="E3" s="59"/>
      <c r="F3" s="59"/>
      <c r="G3" s="60"/>
    </row>
    <row r="4" spans="1:7" ht="20.25" x14ac:dyDescent="0.25">
      <c r="A4" s="58"/>
      <c r="B4" s="63" t="s">
        <v>2</v>
      </c>
      <c r="C4" s="64" t="s">
        <v>3</v>
      </c>
      <c r="D4" s="59"/>
      <c r="E4" s="59"/>
      <c r="F4" s="59"/>
      <c r="G4" s="60"/>
    </row>
    <row r="5" spans="1:7" ht="20.25" x14ac:dyDescent="0.25">
      <c r="A5" s="58"/>
      <c r="B5" s="63" t="s">
        <v>4</v>
      </c>
      <c r="C5" s="64" t="s">
        <v>5</v>
      </c>
      <c r="D5" s="59"/>
      <c r="E5" s="59"/>
      <c r="F5" s="59"/>
      <c r="G5" s="60"/>
    </row>
    <row r="6" spans="1:7" ht="21" thickBot="1" x14ac:dyDescent="0.3">
      <c r="A6" s="58"/>
      <c r="B6" s="65" t="s">
        <v>6</v>
      </c>
      <c r="C6" s="66" t="s">
        <v>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v>45670</v>
      </c>
      <c r="D9" s="59"/>
      <c r="E9" s="59"/>
      <c r="F9" s="59"/>
      <c r="G9" s="60"/>
    </row>
    <row r="10" spans="1:7" ht="20.25" x14ac:dyDescent="0.25">
      <c r="A10" s="58"/>
      <c r="B10" s="68" t="s">
        <v>9</v>
      </c>
      <c r="C10" s="69">
        <v>45726</v>
      </c>
      <c r="D10" s="59"/>
      <c r="E10" s="59"/>
      <c r="F10" s="59"/>
      <c r="G10" s="60"/>
    </row>
    <row r="11" spans="1:7" ht="20.25" x14ac:dyDescent="0.25">
      <c r="A11" s="58"/>
      <c r="B11" s="68" t="s">
        <v>10</v>
      </c>
      <c r="C11" s="70">
        <v>8</v>
      </c>
      <c r="D11" s="59"/>
      <c r="E11" s="59"/>
      <c r="F11" s="59"/>
      <c r="G11" s="60"/>
    </row>
    <row r="12" spans="1:7" ht="20.25" x14ac:dyDescent="0.25">
      <c r="A12" s="58"/>
      <c r="B12" s="63" t="s">
        <v>11</v>
      </c>
      <c r="C12" s="71">
        <v>3</v>
      </c>
      <c r="D12" s="59"/>
      <c r="E12" s="59"/>
      <c r="F12" s="59"/>
      <c r="G12" s="60"/>
    </row>
    <row r="13" spans="1:7" ht="20.25" x14ac:dyDescent="0.25">
      <c r="A13" s="58"/>
      <c r="B13" s="63" t="s">
        <v>12</v>
      </c>
      <c r="C13" s="71">
        <v>3</v>
      </c>
      <c r="D13" s="59"/>
      <c r="E13" s="59"/>
      <c r="F13" s="59"/>
      <c r="G13" s="60"/>
    </row>
    <row r="14" spans="1:7" ht="20.25" thickBot="1" x14ac:dyDescent="0.3">
      <c r="A14" s="58"/>
      <c r="B14" s="72"/>
      <c r="C14" s="73" t="s">
        <v>13</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26" t="s">
        <v>14</v>
      </c>
      <c r="C19" s="127"/>
      <c r="D19" s="59"/>
      <c r="E19" s="59"/>
      <c r="F19" s="59"/>
      <c r="G19" s="60"/>
    </row>
    <row r="20" spans="1:7" ht="20.25" x14ac:dyDescent="0.25">
      <c r="A20" s="78"/>
      <c r="B20" s="79" t="s">
        <v>15</v>
      </c>
      <c r="C20" s="80" t="s">
        <v>16</v>
      </c>
      <c r="D20" s="59"/>
      <c r="E20" s="59"/>
      <c r="F20" s="59"/>
      <c r="G20" s="60"/>
    </row>
    <row r="21" spans="1:7" ht="20.25" x14ac:dyDescent="0.25">
      <c r="A21" s="78"/>
      <c r="B21" s="79">
        <v>1</v>
      </c>
      <c r="C21" s="69" t="s">
        <v>17</v>
      </c>
      <c r="D21" s="59"/>
      <c r="E21" s="59"/>
      <c r="F21" s="59"/>
      <c r="G21" s="60"/>
    </row>
    <row r="22" spans="1:7" ht="20.25" x14ac:dyDescent="0.25">
      <c r="A22" s="78"/>
      <c r="B22" s="79">
        <v>2</v>
      </c>
      <c r="C22" s="70" t="s">
        <v>18</v>
      </c>
      <c r="D22" s="59"/>
      <c r="E22" s="59"/>
      <c r="F22" s="59"/>
      <c r="G22" s="60"/>
    </row>
    <row r="23" spans="1:7" ht="20.25" x14ac:dyDescent="0.25">
      <c r="A23" s="78"/>
      <c r="B23" s="81">
        <v>3</v>
      </c>
      <c r="C23" s="70" t="s">
        <v>19</v>
      </c>
      <c r="D23" s="59"/>
      <c r="E23" s="59"/>
      <c r="F23" s="59"/>
      <c r="G23" s="60"/>
    </row>
    <row r="24" spans="1:7" ht="20.25" x14ac:dyDescent="0.25">
      <c r="A24" s="78"/>
      <c r="B24" s="79">
        <v>4</v>
      </c>
      <c r="C24" s="70" t="s">
        <v>20</v>
      </c>
      <c r="D24" s="59"/>
      <c r="E24" s="59"/>
      <c r="F24" s="59"/>
      <c r="G24" s="60"/>
    </row>
    <row r="25" spans="1:7" ht="20.25" x14ac:dyDescent="0.25">
      <c r="A25" s="78"/>
      <c r="B25" s="79">
        <v>5</v>
      </c>
      <c r="C25" s="70" t="s">
        <v>21</v>
      </c>
      <c r="D25" s="59"/>
      <c r="E25" s="59"/>
      <c r="F25" s="59"/>
      <c r="G25" s="60"/>
    </row>
    <row r="26" spans="1:7" ht="20.25" x14ac:dyDescent="0.25">
      <c r="A26" s="78"/>
      <c r="B26" s="81">
        <v>6</v>
      </c>
      <c r="C26" s="70" t="s">
        <v>22</v>
      </c>
      <c r="D26" s="59"/>
      <c r="E26" s="59"/>
      <c r="F26" s="59"/>
      <c r="G26" s="60"/>
    </row>
    <row r="27" spans="1:7" ht="20.25" x14ac:dyDescent="0.25">
      <c r="A27" s="78"/>
      <c r="B27" s="79">
        <v>7</v>
      </c>
      <c r="C27" s="70" t="s">
        <v>23</v>
      </c>
      <c r="D27" s="59"/>
      <c r="E27" s="59"/>
      <c r="F27" s="59"/>
      <c r="G27" s="60"/>
    </row>
    <row r="28" spans="1:7" ht="20.25" x14ac:dyDescent="0.25">
      <c r="A28" s="78"/>
      <c r="B28" s="79">
        <v>8</v>
      </c>
      <c r="C28" s="71" t="s">
        <v>24</v>
      </c>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2" r:id="rId5" name="btnCreateDiagram">
          <controlPr defaultSize="0" autoLine="0" r:id="rId6">
            <anchor moveWithCells="1">
              <from>
                <xdr:col>4</xdr:col>
                <xdr:colOff>9525</xdr:colOff>
                <xdr:row>1</xdr:row>
                <xdr:rowOff>161925</xdr:rowOff>
              </from>
              <to>
                <xdr:col>6</xdr:col>
                <xdr:colOff>76200</xdr:colOff>
                <xdr:row>3</xdr:row>
                <xdr:rowOff>200025</xdr:rowOff>
              </to>
            </anchor>
          </controlPr>
        </control>
      </mc:Choice>
      <mc:Fallback>
        <control shapeId="15362" r:id="rId5" name="btnCreateDiagram"/>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6BBAA-1D6F-4D75-BD8E-788F8B306EF8}">
  <dimension ref="A1:D112"/>
  <sheetViews>
    <sheetView topLeftCell="A65" zoomScale="115" zoomScaleNormal="115" workbookViewId="0">
      <selection activeCell="C72" sqref="C72"/>
    </sheetView>
  </sheetViews>
  <sheetFormatPr baseColWidth="10" defaultColWidth="11.42578125" defaultRowHeight="13.5" x14ac:dyDescent="0.25"/>
  <cols>
    <col min="1" max="1" width="24.7109375" customWidth="1"/>
    <col min="2" max="2" width="7.5703125" customWidth="1"/>
    <col min="3" max="3" width="105.7109375" customWidth="1"/>
    <col min="4" max="4" width="44.7109375" customWidth="1"/>
  </cols>
  <sheetData>
    <row r="1" spans="1:4" ht="18.75" thickBot="1" x14ac:dyDescent="0.3">
      <c r="A1" s="6" t="s">
        <v>25</v>
      </c>
      <c r="B1" s="7">
        <v>1</v>
      </c>
      <c r="C1" s="17"/>
      <c r="D1" s="85"/>
    </row>
    <row r="2" spans="1:4" ht="27.75" thickBot="1" x14ac:dyDescent="0.3">
      <c r="A2" s="8" t="s">
        <v>26</v>
      </c>
      <c r="B2" s="18" t="s">
        <v>27</v>
      </c>
      <c r="C2" s="8" t="s">
        <v>28</v>
      </c>
      <c r="D2" s="8" t="s">
        <v>29</v>
      </c>
    </row>
    <row r="3" spans="1:4" x14ac:dyDescent="0.25">
      <c r="A3" s="1" t="s">
        <v>23</v>
      </c>
      <c r="B3" s="2">
        <v>1</v>
      </c>
      <c r="C3" s="86" t="s">
        <v>30</v>
      </c>
      <c r="D3" s="9"/>
    </row>
    <row r="4" spans="1:4" x14ac:dyDescent="0.25">
      <c r="A4" s="1" t="s">
        <v>18</v>
      </c>
      <c r="B4" s="2">
        <v>1</v>
      </c>
      <c r="C4" s="86" t="s">
        <v>31</v>
      </c>
      <c r="D4" s="10"/>
    </row>
    <row r="5" spans="1:4" x14ac:dyDescent="0.25">
      <c r="A5" s="88" t="s">
        <v>24</v>
      </c>
      <c r="B5" s="2">
        <v>1</v>
      </c>
      <c r="C5" s="86" t="s">
        <v>32</v>
      </c>
      <c r="D5" s="10"/>
    </row>
    <row r="6" spans="1:4" x14ac:dyDescent="0.25">
      <c r="A6" s="1" t="s">
        <v>18</v>
      </c>
      <c r="B6" s="2">
        <v>1</v>
      </c>
      <c r="C6" s="86" t="s">
        <v>33</v>
      </c>
      <c r="D6" s="10"/>
    </row>
    <row r="7" spans="1:4" x14ac:dyDescent="0.25">
      <c r="A7" s="1" t="s">
        <v>18</v>
      </c>
      <c r="B7" s="2">
        <v>1</v>
      </c>
      <c r="C7" s="86" t="s">
        <v>34</v>
      </c>
      <c r="D7" s="10"/>
    </row>
    <row r="8" spans="1:4" x14ac:dyDescent="0.25">
      <c r="A8" s="1" t="s">
        <v>18</v>
      </c>
      <c r="B8" s="2">
        <v>1</v>
      </c>
      <c r="C8" s="86" t="s">
        <v>34</v>
      </c>
      <c r="D8" s="10"/>
    </row>
    <row r="9" spans="1:4" x14ac:dyDescent="0.25">
      <c r="A9" s="2" t="s">
        <v>21</v>
      </c>
      <c r="B9" s="2">
        <v>2</v>
      </c>
      <c r="C9" s="86" t="s">
        <v>35</v>
      </c>
      <c r="D9" s="10"/>
    </row>
    <row r="10" spans="1:4" x14ac:dyDescent="0.25">
      <c r="A10" s="2" t="s">
        <v>18</v>
      </c>
      <c r="B10" s="2">
        <v>1</v>
      </c>
      <c r="C10" s="86" t="s">
        <v>36</v>
      </c>
      <c r="D10" s="10"/>
    </row>
    <row r="11" spans="1:4" x14ac:dyDescent="0.25">
      <c r="A11" s="2"/>
      <c r="B11" s="2"/>
      <c r="C11" s="10"/>
      <c r="D11" s="10"/>
    </row>
    <row r="12" spans="1:4" ht="27" x14ac:dyDescent="0.25">
      <c r="A12" s="3" t="s">
        <v>18</v>
      </c>
      <c r="B12" s="3">
        <v>1</v>
      </c>
      <c r="C12" s="11" t="s">
        <v>37</v>
      </c>
      <c r="D12" s="11" t="s">
        <v>38</v>
      </c>
    </row>
    <row r="13" spans="1:4" ht="14.25" thickBot="1" x14ac:dyDescent="0.3">
      <c r="A13" s="12" t="s">
        <v>39</v>
      </c>
      <c r="B13" s="12">
        <f>SUM(B3:B12)</f>
        <v>10</v>
      </c>
      <c r="C13" s="87" t="s">
        <v>40</v>
      </c>
      <c r="D13" s="13"/>
    </row>
    <row r="14" spans="1:4" ht="15" thickBot="1" x14ac:dyDescent="0.35">
      <c r="A14" s="14"/>
      <c r="B14" s="14"/>
      <c r="C14" s="14"/>
      <c r="D14" s="14"/>
    </row>
    <row r="15" spans="1:4" ht="18.75" thickBot="1" x14ac:dyDescent="0.3">
      <c r="A15" s="6" t="s">
        <v>25</v>
      </c>
      <c r="B15" s="7">
        <v>2</v>
      </c>
      <c r="C15" s="17"/>
      <c r="D15" s="85"/>
    </row>
    <row r="16" spans="1:4" ht="27" x14ac:dyDescent="0.25">
      <c r="A16" s="8" t="s">
        <v>26</v>
      </c>
      <c r="B16" s="18" t="s">
        <v>27</v>
      </c>
      <c r="C16" s="8" t="s">
        <v>28</v>
      </c>
      <c r="D16" s="8" t="s">
        <v>29</v>
      </c>
    </row>
    <row r="17" spans="1:4" x14ac:dyDescent="0.25">
      <c r="A17" s="1" t="s">
        <v>23</v>
      </c>
      <c r="B17" s="2">
        <v>1</v>
      </c>
      <c r="C17" s="86" t="s">
        <v>30</v>
      </c>
      <c r="D17" s="9"/>
    </row>
    <row r="18" spans="1:4" ht="27" x14ac:dyDescent="0.25">
      <c r="A18" s="88" t="s">
        <v>19</v>
      </c>
      <c r="B18" s="2">
        <v>3</v>
      </c>
      <c r="C18" s="86" t="s">
        <v>41</v>
      </c>
      <c r="D18" s="90" t="s">
        <v>42</v>
      </c>
    </row>
    <row r="19" spans="1:4" x14ac:dyDescent="0.25">
      <c r="A19" s="2" t="s">
        <v>18</v>
      </c>
      <c r="B19" s="2">
        <v>1</v>
      </c>
      <c r="C19" s="86" t="s">
        <v>43</v>
      </c>
      <c r="D19" s="10"/>
    </row>
    <row r="20" spans="1:4" x14ac:dyDescent="0.25">
      <c r="A20" s="2" t="s">
        <v>18</v>
      </c>
      <c r="B20" s="2">
        <v>1</v>
      </c>
      <c r="C20" s="86" t="s">
        <v>43</v>
      </c>
      <c r="D20" s="10"/>
    </row>
    <row r="21" spans="1:4" x14ac:dyDescent="0.25">
      <c r="A21" s="2" t="s">
        <v>44</v>
      </c>
      <c r="B21" s="2">
        <v>1</v>
      </c>
      <c r="C21" s="10" t="s">
        <v>45</v>
      </c>
      <c r="D21" s="10"/>
    </row>
    <row r="22" spans="1:4" ht="54" x14ac:dyDescent="0.25">
      <c r="A22" s="1" t="s">
        <v>46</v>
      </c>
      <c r="B22" s="2">
        <v>4</v>
      </c>
      <c r="C22" s="10" t="s">
        <v>47</v>
      </c>
      <c r="D22" s="90"/>
    </row>
    <row r="23" spans="1:4" ht="54" x14ac:dyDescent="0.25">
      <c r="A23" s="1" t="s">
        <v>48</v>
      </c>
      <c r="B23" s="2">
        <v>3</v>
      </c>
      <c r="C23" s="89" t="s">
        <v>49</v>
      </c>
      <c r="D23" s="10"/>
    </row>
    <row r="24" spans="1:4" ht="40.5" x14ac:dyDescent="0.25">
      <c r="A24" s="1" t="s">
        <v>50</v>
      </c>
      <c r="B24" s="2">
        <v>4</v>
      </c>
      <c r="C24" s="89" t="s">
        <v>51</v>
      </c>
      <c r="D24" s="10"/>
    </row>
    <row r="25" spans="1:4" x14ac:dyDescent="0.25">
      <c r="A25" s="2"/>
      <c r="B25" s="2"/>
      <c r="C25" s="10"/>
      <c r="D25" s="10"/>
    </row>
    <row r="26" spans="1:4" ht="27" x14ac:dyDescent="0.25">
      <c r="A26" s="3" t="s">
        <v>18</v>
      </c>
      <c r="B26" s="3">
        <v>1</v>
      </c>
      <c r="C26" s="11" t="s">
        <v>37</v>
      </c>
      <c r="D26" s="11" t="s">
        <v>38</v>
      </c>
    </row>
    <row r="27" spans="1:4" ht="14.25" thickBot="1" x14ac:dyDescent="0.3">
      <c r="A27" s="12" t="s">
        <v>39</v>
      </c>
      <c r="B27" s="12">
        <f>SUM(B17:B26)</f>
        <v>19</v>
      </c>
      <c r="C27" s="87" t="s">
        <v>40</v>
      </c>
      <c r="D27" s="13"/>
    </row>
    <row r="28" spans="1:4" ht="15" thickBot="1" x14ac:dyDescent="0.35">
      <c r="A28" s="14"/>
      <c r="B28" s="14"/>
      <c r="C28" s="14"/>
      <c r="D28" s="14"/>
    </row>
    <row r="29" spans="1:4" ht="18.75" thickBot="1" x14ac:dyDescent="0.3">
      <c r="A29" s="6" t="s">
        <v>25</v>
      </c>
      <c r="B29" s="7">
        <v>3</v>
      </c>
      <c r="C29" s="17"/>
      <c r="D29" s="85"/>
    </row>
    <row r="30" spans="1:4" ht="27.75" thickBot="1" x14ac:dyDescent="0.3">
      <c r="A30" s="8" t="s">
        <v>26</v>
      </c>
      <c r="B30" s="18" t="s">
        <v>27</v>
      </c>
      <c r="C30" s="8" t="s">
        <v>28</v>
      </c>
      <c r="D30" s="8" t="s">
        <v>29</v>
      </c>
    </row>
    <row r="31" spans="1:4" x14ac:dyDescent="0.25">
      <c r="A31" s="1" t="s">
        <v>23</v>
      </c>
      <c r="B31" s="2">
        <v>1</v>
      </c>
      <c r="C31" s="86" t="s">
        <v>30</v>
      </c>
      <c r="D31" s="9"/>
    </row>
    <row r="32" spans="1:4" ht="27" x14ac:dyDescent="0.25">
      <c r="A32" s="88" t="s">
        <v>19</v>
      </c>
      <c r="B32" s="2">
        <v>3</v>
      </c>
      <c r="C32" s="86" t="s">
        <v>41</v>
      </c>
      <c r="D32" s="90" t="s">
        <v>42</v>
      </c>
    </row>
    <row r="33" spans="1:4" ht="54" x14ac:dyDescent="0.25">
      <c r="A33" s="1" t="s">
        <v>46</v>
      </c>
      <c r="B33" s="2">
        <v>4</v>
      </c>
      <c r="C33" s="10" t="s">
        <v>47</v>
      </c>
      <c r="D33" s="90"/>
    </row>
    <row r="34" spans="1:4" ht="54" x14ac:dyDescent="0.25">
      <c r="A34" s="1" t="s">
        <v>48</v>
      </c>
      <c r="B34" s="2">
        <v>3</v>
      </c>
      <c r="C34" s="89" t="s">
        <v>49</v>
      </c>
      <c r="D34" s="10"/>
    </row>
    <row r="35" spans="1:4" ht="40.5" x14ac:dyDescent="0.25">
      <c r="A35" s="1" t="s">
        <v>50</v>
      </c>
      <c r="B35" s="2">
        <v>4</v>
      </c>
      <c r="C35" s="89" t="s">
        <v>51</v>
      </c>
      <c r="D35" s="10"/>
    </row>
    <row r="36" spans="1:4" x14ac:dyDescent="0.25">
      <c r="A36" s="2"/>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27" x14ac:dyDescent="0.25">
      <c r="A40" s="3" t="s">
        <v>18</v>
      </c>
      <c r="B40" s="3">
        <v>1</v>
      </c>
      <c r="C40" s="11" t="s">
        <v>37</v>
      </c>
      <c r="D40" s="11" t="s">
        <v>38</v>
      </c>
    </row>
    <row r="41" spans="1:4" ht="14.25" thickBot="1" x14ac:dyDescent="0.3">
      <c r="A41" s="12" t="s">
        <v>39</v>
      </c>
      <c r="B41" s="12">
        <f>SUM(B31:B40)</f>
        <v>16</v>
      </c>
      <c r="C41" s="87" t="s">
        <v>40</v>
      </c>
      <c r="D41" s="13"/>
    </row>
    <row r="42" spans="1:4" ht="15" thickBot="1" x14ac:dyDescent="0.35">
      <c r="A42" s="14"/>
      <c r="B42" s="14"/>
      <c r="C42" s="14"/>
      <c r="D42" s="14"/>
    </row>
    <row r="43" spans="1:4" ht="18.75" thickBot="1" x14ac:dyDescent="0.3">
      <c r="A43" s="6" t="s">
        <v>25</v>
      </c>
      <c r="B43" s="7">
        <v>4</v>
      </c>
      <c r="C43" s="17"/>
      <c r="D43" s="85"/>
    </row>
    <row r="44" spans="1:4" ht="27.75" thickBot="1" x14ac:dyDescent="0.3">
      <c r="A44" s="8" t="s">
        <v>26</v>
      </c>
      <c r="B44" s="18" t="s">
        <v>27</v>
      </c>
      <c r="C44" s="8" t="s">
        <v>28</v>
      </c>
      <c r="D44" s="8" t="s">
        <v>29</v>
      </c>
    </row>
    <row r="45" spans="1:4" x14ac:dyDescent="0.25">
      <c r="A45" s="1" t="s">
        <v>23</v>
      </c>
      <c r="B45" s="2">
        <v>1</v>
      </c>
      <c r="C45" s="86" t="s">
        <v>30</v>
      </c>
      <c r="D45" s="9"/>
    </row>
    <row r="46" spans="1:4" ht="27" x14ac:dyDescent="0.25">
      <c r="A46" s="88" t="s">
        <v>19</v>
      </c>
      <c r="B46" s="2">
        <v>2</v>
      </c>
      <c r="C46" s="86" t="s">
        <v>41</v>
      </c>
      <c r="D46" s="90" t="s">
        <v>42</v>
      </c>
    </row>
    <row r="47" spans="1:4" ht="54" x14ac:dyDescent="0.25">
      <c r="A47" s="1" t="s">
        <v>46</v>
      </c>
      <c r="B47" s="2">
        <v>4</v>
      </c>
      <c r="C47" s="10" t="s">
        <v>47</v>
      </c>
      <c r="D47" s="90"/>
    </row>
    <row r="48" spans="1:4" ht="54" x14ac:dyDescent="0.25">
      <c r="A48" s="1" t="s">
        <v>48</v>
      </c>
      <c r="B48" s="2">
        <v>3</v>
      </c>
      <c r="C48" s="89" t="s">
        <v>49</v>
      </c>
      <c r="D48" s="10"/>
    </row>
    <row r="49" spans="1:4" ht="40.5" x14ac:dyDescent="0.25">
      <c r="A49" s="1" t="s">
        <v>50</v>
      </c>
      <c r="B49" s="2">
        <v>4</v>
      </c>
      <c r="C49" s="89" t="s">
        <v>51</v>
      </c>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27" x14ac:dyDescent="0.25">
      <c r="A54" s="3" t="s">
        <v>18</v>
      </c>
      <c r="B54" s="3">
        <v>1</v>
      </c>
      <c r="C54" s="11" t="s">
        <v>37</v>
      </c>
      <c r="D54" s="11" t="s">
        <v>38</v>
      </c>
    </row>
    <row r="55" spans="1:4" ht="14.25" thickBot="1" x14ac:dyDescent="0.3">
      <c r="A55" s="12" t="s">
        <v>39</v>
      </c>
      <c r="B55" s="12">
        <f>SUM(B45:B54)</f>
        <v>15</v>
      </c>
      <c r="C55" s="87" t="s">
        <v>40</v>
      </c>
      <c r="D55" s="13"/>
    </row>
    <row r="56" spans="1:4" ht="15" thickBot="1" x14ac:dyDescent="0.35">
      <c r="A56" s="14"/>
      <c r="B56" s="14"/>
      <c r="C56" s="14"/>
      <c r="D56" s="14"/>
    </row>
    <row r="57" spans="1:4" ht="18.75" thickBot="1" x14ac:dyDescent="0.3">
      <c r="A57" s="6" t="s">
        <v>25</v>
      </c>
      <c r="B57" s="7">
        <v>5</v>
      </c>
      <c r="C57" s="17"/>
      <c r="D57" s="85"/>
    </row>
    <row r="58" spans="1:4" ht="27.75" thickBot="1" x14ac:dyDescent="0.3">
      <c r="A58" s="8" t="s">
        <v>26</v>
      </c>
      <c r="B58" s="18" t="s">
        <v>27</v>
      </c>
      <c r="C58" s="8" t="s">
        <v>28</v>
      </c>
      <c r="D58" s="8" t="s">
        <v>29</v>
      </c>
    </row>
    <row r="59" spans="1:4" x14ac:dyDescent="0.25">
      <c r="A59" s="1" t="s">
        <v>23</v>
      </c>
      <c r="B59" s="2">
        <v>1</v>
      </c>
      <c r="C59" s="86" t="s">
        <v>30</v>
      </c>
      <c r="D59" s="9"/>
    </row>
    <row r="60" spans="1:4" x14ac:dyDescent="0.25">
      <c r="A60" s="99" t="s">
        <v>90</v>
      </c>
      <c r="B60" s="2">
        <v>4</v>
      </c>
      <c r="C60" s="86" t="s">
        <v>105</v>
      </c>
      <c r="D60" s="10"/>
    </row>
    <row r="61" spans="1:4" x14ac:dyDescent="0.25">
      <c r="A61" s="122" t="s">
        <v>88</v>
      </c>
      <c r="B61" s="2">
        <v>3</v>
      </c>
      <c r="C61" s="100" t="s">
        <v>88</v>
      </c>
      <c r="D61" s="10"/>
    </row>
    <row r="62" spans="1:4" x14ac:dyDescent="0.25">
      <c r="A62" s="99" t="s">
        <v>87</v>
      </c>
      <c r="B62" s="2">
        <v>3</v>
      </c>
      <c r="C62" s="100" t="s">
        <v>86</v>
      </c>
      <c r="D62" s="10"/>
    </row>
    <row r="63" spans="1:4" x14ac:dyDescent="0.25">
      <c r="A63" s="1"/>
      <c r="B63" s="2"/>
      <c r="C63" s="10"/>
      <c r="D63" s="10"/>
    </row>
    <row r="64" spans="1:4" x14ac:dyDescent="0.25">
      <c r="A64" s="1"/>
      <c r="B64" s="2"/>
      <c r="C64" s="113" t="s">
        <v>13</v>
      </c>
      <c r="D64" s="10"/>
    </row>
    <row r="65" spans="1:4" x14ac:dyDescent="0.25">
      <c r="A65" s="1"/>
      <c r="B65" s="2"/>
      <c r="C65" s="10"/>
      <c r="D65" s="10"/>
    </row>
    <row r="66" spans="1:4" x14ac:dyDescent="0.25">
      <c r="A66" s="2" t="s">
        <v>18</v>
      </c>
      <c r="B66" s="2">
        <v>2</v>
      </c>
      <c r="C66" s="86" t="s">
        <v>43</v>
      </c>
      <c r="D66" s="10"/>
    </row>
    <row r="67" spans="1:4" ht="27" x14ac:dyDescent="0.25">
      <c r="A67" s="88" t="s">
        <v>84</v>
      </c>
      <c r="B67" s="2">
        <v>1</v>
      </c>
      <c r="C67" s="113" t="s">
        <v>106</v>
      </c>
      <c r="D67" s="10"/>
    </row>
    <row r="68" spans="1:4" ht="27" x14ac:dyDescent="0.25">
      <c r="A68" s="3" t="s">
        <v>18</v>
      </c>
      <c r="B68" s="3">
        <v>1</v>
      </c>
      <c r="C68" s="11" t="s">
        <v>37</v>
      </c>
      <c r="D68" s="11" t="s">
        <v>38</v>
      </c>
    </row>
    <row r="69" spans="1:4" ht="14.25" thickBot="1" x14ac:dyDescent="0.3">
      <c r="A69" s="12" t="s">
        <v>39</v>
      </c>
      <c r="B69" s="12">
        <f>SUM(B59:B68)</f>
        <v>15</v>
      </c>
      <c r="C69" s="87" t="s">
        <v>40</v>
      </c>
      <c r="D69" s="13"/>
    </row>
    <row r="70" spans="1:4" ht="15" thickBot="1" x14ac:dyDescent="0.35">
      <c r="A70" s="14"/>
      <c r="B70" s="14"/>
      <c r="C70" s="14"/>
      <c r="D70" s="14"/>
    </row>
    <row r="71" spans="1:4" ht="18.75" thickBot="1" x14ac:dyDescent="0.3">
      <c r="A71" s="6" t="s">
        <v>25</v>
      </c>
      <c r="B71" s="7">
        <v>6</v>
      </c>
      <c r="C71" s="17"/>
      <c r="D71" s="85"/>
    </row>
    <row r="72" spans="1:4" ht="27.75" thickBot="1" x14ac:dyDescent="0.3">
      <c r="A72" s="8" t="s">
        <v>26</v>
      </c>
      <c r="B72" s="18" t="s">
        <v>27</v>
      </c>
      <c r="C72" s="8" t="s">
        <v>28</v>
      </c>
      <c r="D72" s="8" t="s">
        <v>29</v>
      </c>
    </row>
    <row r="73" spans="1:4" x14ac:dyDescent="0.25">
      <c r="A73" s="1" t="s">
        <v>23</v>
      </c>
      <c r="B73" s="2">
        <v>1</v>
      </c>
      <c r="C73" s="86" t="s">
        <v>30</v>
      </c>
      <c r="D73" s="9"/>
    </row>
    <row r="74" spans="1:4" x14ac:dyDescent="0.25">
      <c r="A74" s="123" t="s">
        <v>108</v>
      </c>
      <c r="B74" s="2">
        <v>3</v>
      </c>
      <c r="C74" s="10"/>
      <c r="D74" s="10"/>
    </row>
    <row r="75" spans="1:4" x14ac:dyDescent="0.25">
      <c r="A75" s="123" t="s">
        <v>108</v>
      </c>
      <c r="B75" s="2">
        <v>3</v>
      </c>
      <c r="C75" s="10"/>
      <c r="D75" s="10"/>
    </row>
    <row r="76" spans="1:4" x14ac:dyDescent="0.25">
      <c r="A76" s="88" t="s">
        <v>109</v>
      </c>
      <c r="B76" s="2">
        <v>5</v>
      </c>
      <c r="C76" s="113" t="s">
        <v>113</v>
      </c>
      <c r="D76" s="10"/>
    </row>
    <row r="77" spans="1:4" x14ac:dyDescent="0.25">
      <c r="A77" s="88" t="s">
        <v>111</v>
      </c>
      <c r="B77" s="2">
        <v>1</v>
      </c>
      <c r="C77" t="s">
        <v>112</v>
      </c>
      <c r="D77" s="10"/>
    </row>
    <row r="78" spans="1:4" x14ac:dyDescent="0.25">
      <c r="A78" s="88" t="s">
        <v>43</v>
      </c>
      <c r="B78" s="2">
        <v>1</v>
      </c>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27" x14ac:dyDescent="0.25">
      <c r="A82" s="3" t="s">
        <v>18</v>
      </c>
      <c r="B82" s="3">
        <v>1</v>
      </c>
      <c r="C82" s="11" t="s">
        <v>37</v>
      </c>
      <c r="D82" s="11" t="s">
        <v>38</v>
      </c>
    </row>
    <row r="83" spans="1:4" ht="14.25" thickBot="1" x14ac:dyDescent="0.3">
      <c r="A83" s="12" t="s">
        <v>39</v>
      </c>
      <c r="B83" s="12">
        <f>SUM(B73:B82)</f>
        <v>15</v>
      </c>
      <c r="C83" s="87" t="s">
        <v>40</v>
      </c>
      <c r="D83" s="13"/>
    </row>
    <row r="84" spans="1:4" ht="15" thickBot="1" x14ac:dyDescent="0.35">
      <c r="A84" s="14"/>
      <c r="B84" s="14"/>
      <c r="C84" s="14"/>
      <c r="D84" s="14"/>
    </row>
    <row r="85" spans="1:4" ht="18.75" thickBot="1" x14ac:dyDescent="0.3">
      <c r="A85" s="6" t="s">
        <v>25</v>
      </c>
      <c r="B85" s="7">
        <v>7</v>
      </c>
      <c r="C85" s="17"/>
      <c r="D85" s="85"/>
    </row>
    <row r="86" spans="1:4" ht="27.75" thickBot="1" x14ac:dyDescent="0.3">
      <c r="A86" s="8" t="s">
        <v>26</v>
      </c>
      <c r="B86" s="18" t="s">
        <v>27</v>
      </c>
      <c r="C86" s="8" t="s">
        <v>28</v>
      </c>
      <c r="D86" s="8" t="s">
        <v>29</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27" x14ac:dyDescent="0.25">
      <c r="A96" s="3" t="s">
        <v>18</v>
      </c>
      <c r="B96" s="3">
        <v>1</v>
      </c>
      <c r="C96" s="11" t="s">
        <v>37</v>
      </c>
      <c r="D96" s="11" t="s">
        <v>38</v>
      </c>
    </row>
    <row r="97" spans="1:4" ht="14.25" thickBot="1" x14ac:dyDescent="0.3">
      <c r="A97" s="12" t="s">
        <v>39</v>
      </c>
      <c r="B97" s="12">
        <f>SUM(B87:B96)</f>
        <v>1</v>
      </c>
      <c r="C97" s="87" t="s">
        <v>40</v>
      </c>
      <c r="D97" s="13"/>
    </row>
    <row r="98" spans="1:4" ht="15" thickBot="1" x14ac:dyDescent="0.35">
      <c r="A98" s="14"/>
      <c r="B98" s="14"/>
      <c r="C98" s="14"/>
      <c r="D98" s="14"/>
    </row>
    <row r="99" spans="1:4" ht="18.75" thickBot="1" x14ac:dyDescent="0.3">
      <c r="A99" s="6" t="s">
        <v>25</v>
      </c>
      <c r="B99" s="7">
        <v>8</v>
      </c>
      <c r="C99" s="17"/>
      <c r="D99" s="85"/>
    </row>
    <row r="100" spans="1:4" ht="27.75" thickBot="1" x14ac:dyDescent="0.3">
      <c r="A100" s="8" t="s">
        <v>26</v>
      </c>
      <c r="B100" s="18" t="s">
        <v>27</v>
      </c>
      <c r="C100" s="8" t="s">
        <v>28</v>
      </c>
      <c r="D100" s="8" t="s">
        <v>29</v>
      </c>
    </row>
    <row r="101" spans="1:4" x14ac:dyDescent="0.25">
      <c r="A101" s="1" t="s">
        <v>23</v>
      </c>
      <c r="B101" s="2">
        <v>1</v>
      </c>
      <c r="C101" s="86" t="s">
        <v>30</v>
      </c>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27" x14ac:dyDescent="0.25">
      <c r="A110" s="3" t="s">
        <v>18</v>
      </c>
      <c r="B110" s="3">
        <v>1</v>
      </c>
      <c r="C110" s="11" t="s">
        <v>37</v>
      </c>
      <c r="D110" s="11" t="s">
        <v>38</v>
      </c>
    </row>
    <row r="111" spans="1:4" ht="14.25" thickBot="1" x14ac:dyDescent="0.3">
      <c r="A111" s="12" t="s">
        <v>39</v>
      </c>
      <c r="B111" s="12">
        <f>SUM(B101:B110)</f>
        <v>2</v>
      </c>
      <c r="C111" s="87" t="s">
        <v>40</v>
      </c>
      <c r="D111" s="13"/>
    </row>
    <row r="112" spans="1:4" ht="14.25" x14ac:dyDescent="0.3">
      <c r="A112" s="14"/>
      <c r="B112" s="14"/>
      <c r="C112" s="14"/>
      <c r="D112" s="14"/>
    </row>
  </sheetData>
  <dataValidations count="5">
    <dataValidation type="list" allowBlank="1" showInputMessage="1" showErrorMessage="1" sqref="A63:A68 A101:A110 A10:A12 A45:A54 A17:A26 A31:A40 A87:A96 A59 A73:A82" xr:uid="{5C13565C-28D5-4BF7-A239-692B5994810D}">
      <formula1>lstTasks</formula1>
    </dataValidation>
    <dataValidation type="whole" errorStyle="warning" operator="greaterThan" allowBlank="1" showInputMessage="1" showErrorMessage="1" errorTitle="Durée en 1/3 de période" error="Le nombre doit être de type entier" sqref="B73:B82 B101:B110 B3:B12 B45:B54 B17:B26 B31:B40 B87:B96 B59:B68" xr:uid="{8714B40F-1BE0-478F-88DA-1BE0DDD499AB}">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3B8CD1B6-59B2-4C33-9F24-FA1AFAA715A0}">
      <formula1>0</formula1>
      <formula2>NbPerWeek * NbQuartPer</formula2>
    </dataValidation>
    <dataValidation type="list" allowBlank="1" showInputMessage="1" showErrorMessage="1" sqref="A3" xr:uid="{367C8C70-397C-46FD-ADCD-ADCDFAD2FF09}">
      <formula1>a</formula1>
    </dataValidation>
    <dataValidation type="list" allowBlank="1" showInputMessage="1" showErrorMessage="1" sqref="A4:A10 A19:A20 A66" xr:uid="{C3ED18FE-4C31-4A23-93B1-FA795A46742F}">
      <formula1>s</formula1>
    </dataValidation>
  </dataValidations>
  <hyperlinks>
    <hyperlink ref="D32" r:id="rId1" xr:uid="{FA5E352B-D603-457F-91FA-4E633F140117}"/>
    <hyperlink ref="D46" r:id="rId2" xr:uid="{DCC6B358-F4EE-49DB-847D-1C29790983BA}"/>
    <hyperlink ref="D18" r:id="rId3" xr:uid="{840B7D62-D516-4593-9100-F93D96BB023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DC570-BDD4-46ED-BDC0-82FB6AFDAA31}">
  <dimension ref="A1:H162"/>
  <sheetViews>
    <sheetView tabSelected="1" topLeftCell="A108" zoomScale="85" zoomScaleNormal="85" workbookViewId="0">
      <selection activeCell="F130" sqref="F130"/>
    </sheetView>
  </sheetViews>
  <sheetFormatPr baseColWidth="10" defaultColWidth="11.42578125" defaultRowHeight="13.5" x14ac:dyDescent="0.25"/>
  <cols>
    <col min="1" max="1" width="24.85546875" customWidth="1"/>
    <col min="2" max="2" width="7.5703125" customWidth="1"/>
    <col min="3" max="3" width="105.7109375" customWidth="1"/>
    <col min="4" max="4" width="44.7109375" customWidth="1"/>
    <col min="5" max="5" width="20.5703125" customWidth="1"/>
    <col min="6" max="6" width="8.28515625" customWidth="1"/>
    <col min="7" max="7" width="47" customWidth="1"/>
    <col min="8" max="8" width="27" customWidth="1"/>
  </cols>
  <sheetData>
    <row r="1" spans="1:4" ht="18.75" thickBot="1" x14ac:dyDescent="0.3">
      <c r="A1" s="91" t="s">
        <v>25</v>
      </c>
      <c r="B1" s="92">
        <v>1</v>
      </c>
      <c r="C1" s="93" t="s">
        <v>52</v>
      </c>
      <c r="D1" s="94" t="s">
        <v>60</v>
      </c>
    </row>
    <row r="2" spans="1:4" x14ac:dyDescent="0.25">
      <c r="A2" s="128" t="s">
        <v>26</v>
      </c>
      <c r="B2" s="95" t="s">
        <v>61</v>
      </c>
      <c r="C2" s="128" t="s">
        <v>28</v>
      </c>
      <c r="D2" s="128" t="s">
        <v>29</v>
      </c>
    </row>
    <row r="3" spans="1:4" ht="14.25" thickBot="1" x14ac:dyDescent="0.3">
      <c r="A3" s="129"/>
      <c r="B3" s="96" t="s">
        <v>62</v>
      </c>
      <c r="C3" s="129"/>
      <c r="D3" s="129"/>
    </row>
    <row r="4" spans="1:4" x14ac:dyDescent="0.25">
      <c r="A4" s="97" t="s">
        <v>23</v>
      </c>
      <c r="B4" s="97">
        <v>1</v>
      </c>
      <c r="C4" s="98" t="s">
        <v>53</v>
      </c>
      <c r="D4" s="98"/>
    </row>
    <row r="5" spans="1:4" x14ac:dyDescent="0.25">
      <c r="A5" s="99" t="s">
        <v>18</v>
      </c>
      <c r="B5" s="99">
        <v>1</v>
      </c>
      <c r="C5" s="100" t="s">
        <v>31</v>
      </c>
      <c r="D5" s="100"/>
    </row>
    <row r="6" spans="1:4" x14ac:dyDescent="0.25">
      <c r="A6" s="99" t="s">
        <v>24</v>
      </c>
      <c r="B6" s="99">
        <v>1</v>
      </c>
      <c r="C6" s="100" t="s">
        <v>32</v>
      </c>
      <c r="D6" s="100"/>
    </row>
    <row r="7" spans="1:4" x14ac:dyDescent="0.25">
      <c r="A7" s="99" t="s">
        <v>18</v>
      </c>
      <c r="B7" s="99">
        <v>1</v>
      </c>
      <c r="C7" s="100" t="s">
        <v>33</v>
      </c>
      <c r="D7" s="100"/>
    </row>
    <row r="8" spans="1:4" x14ac:dyDescent="0.25">
      <c r="A8" s="99" t="s">
        <v>18</v>
      </c>
      <c r="B8" s="99">
        <v>1</v>
      </c>
      <c r="C8" s="100" t="s">
        <v>34</v>
      </c>
      <c r="D8" s="100"/>
    </row>
    <row r="9" spans="1:4" x14ac:dyDescent="0.25">
      <c r="A9" s="99" t="s">
        <v>18</v>
      </c>
      <c r="B9" s="99">
        <v>1</v>
      </c>
      <c r="C9" s="100" t="s">
        <v>34</v>
      </c>
      <c r="D9" s="100"/>
    </row>
    <row r="10" spans="1:4" x14ac:dyDescent="0.25">
      <c r="A10" s="99" t="s">
        <v>21</v>
      </c>
      <c r="B10" s="99">
        <v>1</v>
      </c>
      <c r="C10" s="100" t="s">
        <v>35</v>
      </c>
      <c r="D10" s="100"/>
    </row>
    <row r="11" spans="1:4" x14ac:dyDescent="0.25">
      <c r="A11" s="99" t="s">
        <v>18</v>
      </c>
      <c r="B11" s="99">
        <v>1</v>
      </c>
      <c r="C11" s="100" t="s">
        <v>36</v>
      </c>
      <c r="D11" s="100"/>
    </row>
    <row r="12" spans="1:4" x14ac:dyDescent="0.25">
      <c r="A12" s="99"/>
      <c r="B12" s="99"/>
      <c r="C12" s="100"/>
      <c r="D12" s="100"/>
    </row>
    <row r="13" spans="1:4" x14ac:dyDescent="0.25">
      <c r="A13" s="101"/>
      <c r="B13" s="101"/>
      <c r="C13" s="102"/>
      <c r="D13" s="100"/>
    </row>
    <row r="14" spans="1:4" x14ac:dyDescent="0.25">
      <c r="A14" s="99"/>
      <c r="B14" s="99"/>
      <c r="C14" s="100"/>
      <c r="D14" s="100"/>
    </row>
    <row r="15" spans="1:4" x14ac:dyDescent="0.25">
      <c r="A15" s="99"/>
      <c r="B15" s="99"/>
      <c r="C15" s="100"/>
      <c r="D15" s="100"/>
    </row>
    <row r="16" spans="1:4" x14ac:dyDescent="0.25">
      <c r="A16" s="101"/>
      <c r="B16" s="101"/>
      <c r="C16" s="102"/>
      <c r="D16" s="102"/>
    </row>
    <row r="17" spans="1:4" x14ac:dyDescent="0.25">
      <c r="A17" s="101"/>
      <c r="B17" s="101"/>
      <c r="C17" s="102"/>
      <c r="D17" s="102"/>
    </row>
    <row r="18" spans="1:4" ht="27.75" thickBot="1" x14ac:dyDescent="0.3">
      <c r="A18" s="103" t="s">
        <v>18</v>
      </c>
      <c r="B18" s="103">
        <v>1</v>
      </c>
      <c r="C18" s="104" t="s">
        <v>37</v>
      </c>
      <c r="D18" s="104"/>
    </row>
    <row r="19" spans="1:4" ht="14.25" thickBot="1" x14ac:dyDescent="0.3">
      <c r="A19" s="105" t="s">
        <v>39</v>
      </c>
      <c r="B19" s="105">
        <v>9</v>
      </c>
      <c r="C19" s="107" t="s">
        <v>40</v>
      </c>
      <c r="D19" s="106"/>
    </row>
    <row r="20" spans="1:4" ht="15" thickBot="1" x14ac:dyDescent="0.35">
      <c r="A20" s="108"/>
      <c r="B20" s="108"/>
      <c r="C20" s="108"/>
      <c r="D20" s="108"/>
    </row>
    <row r="21" spans="1:4" ht="18.75" thickBot="1" x14ac:dyDescent="0.3">
      <c r="A21" s="91" t="s">
        <v>25</v>
      </c>
      <c r="B21" s="92">
        <v>2</v>
      </c>
      <c r="C21" s="93" t="s">
        <v>52</v>
      </c>
      <c r="D21" s="94" t="s">
        <v>63</v>
      </c>
    </row>
    <row r="22" spans="1:4" x14ac:dyDescent="0.25">
      <c r="A22" s="128" t="s">
        <v>26</v>
      </c>
      <c r="B22" s="95" t="s">
        <v>61</v>
      </c>
      <c r="C22" s="128" t="s">
        <v>28</v>
      </c>
      <c r="D22" s="128" t="s">
        <v>29</v>
      </c>
    </row>
    <row r="23" spans="1:4" ht="14.25" thickBot="1" x14ac:dyDescent="0.3">
      <c r="A23" s="129"/>
      <c r="B23" s="96" t="s">
        <v>62</v>
      </c>
      <c r="C23" s="129"/>
      <c r="D23" s="129"/>
    </row>
    <row r="24" spans="1:4" x14ac:dyDescent="0.25">
      <c r="A24" s="99" t="s">
        <v>23</v>
      </c>
      <c r="B24" s="99">
        <v>1</v>
      </c>
      <c r="C24" s="100" t="s">
        <v>30</v>
      </c>
      <c r="D24" s="98"/>
    </row>
    <row r="25" spans="1:4" ht="27" x14ac:dyDescent="0.25">
      <c r="A25" s="99" t="s">
        <v>19</v>
      </c>
      <c r="B25" s="99">
        <v>1</v>
      </c>
      <c r="C25" s="100" t="s">
        <v>41</v>
      </c>
      <c r="D25" s="100"/>
    </row>
    <row r="26" spans="1:4" ht="27" x14ac:dyDescent="0.25">
      <c r="A26" s="99" t="s">
        <v>19</v>
      </c>
      <c r="B26" s="99">
        <v>1</v>
      </c>
      <c r="C26" s="100" t="s">
        <v>41</v>
      </c>
      <c r="D26" s="109"/>
    </row>
    <row r="27" spans="1:4" ht="40.5" x14ac:dyDescent="0.25">
      <c r="A27" s="99" t="s">
        <v>19</v>
      </c>
      <c r="B27" s="99">
        <v>1</v>
      </c>
      <c r="C27" s="100" t="s">
        <v>41</v>
      </c>
      <c r="D27" s="102" t="s">
        <v>98</v>
      </c>
    </row>
    <row r="28" spans="1:4" x14ac:dyDescent="0.25">
      <c r="A28" s="99" t="s">
        <v>18</v>
      </c>
      <c r="B28" s="99">
        <v>1</v>
      </c>
      <c r="C28" s="100" t="s">
        <v>43</v>
      </c>
      <c r="D28" s="110" t="s">
        <v>64</v>
      </c>
    </row>
    <row r="29" spans="1:4" ht="69" customHeight="1" x14ac:dyDescent="0.25">
      <c r="A29" s="99" t="s">
        <v>44</v>
      </c>
      <c r="B29" s="99">
        <v>1</v>
      </c>
      <c r="C29" s="100" t="s">
        <v>45</v>
      </c>
      <c r="D29" s="111" t="s">
        <v>65</v>
      </c>
    </row>
    <row r="30" spans="1:4" ht="67.5" x14ac:dyDescent="0.25">
      <c r="A30" s="99" t="s">
        <v>46</v>
      </c>
      <c r="B30" s="99">
        <v>1</v>
      </c>
      <c r="C30" s="100" t="s">
        <v>54</v>
      </c>
      <c r="D30" s="100" t="s">
        <v>66</v>
      </c>
    </row>
    <row r="31" spans="1:4" ht="68.25" thickBot="1" x14ac:dyDescent="0.3">
      <c r="A31" s="99" t="s">
        <v>46</v>
      </c>
      <c r="B31" s="99">
        <v>1</v>
      </c>
      <c r="C31" s="100" t="s">
        <v>54</v>
      </c>
      <c r="D31" s="104" t="s">
        <v>38</v>
      </c>
    </row>
    <row r="32" spans="1:4" ht="67.5" x14ac:dyDescent="0.25">
      <c r="A32" s="112" t="s">
        <v>48</v>
      </c>
      <c r="B32" s="112">
        <v>1</v>
      </c>
      <c r="C32" s="115" t="s">
        <v>55</v>
      </c>
      <c r="D32" s="102" t="s">
        <v>98</v>
      </c>
    </row>
    <row r="33" spans="1:4" ht="67.5" x14ac:dyDescent="0.25">
      <c r="A33" s="112" t="s">
        <v>48</v>
      </c>
      <c r="B33" s="112">
        <v>1</v>
      </c>
      <c r="C33" s="115" t="s">
        <v>55</v>
      </c>
      <c r="D33" s="102" t="s">
        <v>98</v>
      </c>
    </row>
    <row r="34" spans="1:4" ht="67.5" x14ac:dyDescent="0.25">
      <c r="A34" s="112" t="s">
        <v>48</v>
      </c>
      <c r="B34" s="112">
        <v>1</v>
      </c>
      <c r="C34" s="115" t="s">
        <v>55</v>
      </c>
      <c r="D34" s="102" t="s">
        <v>98</v>
      </c>
    </row>
    <row r="35" spans="1:4" ht="13.5" customHeight="1" x14ac:dyDescent="0.25">
      <c r="A35" s="112" t="s">
        <v>48</v>
      </c>
      <c r="B35" s="112">
        <v>1</v>
      </c>
      <c r="C35" s="115" t="s">
        <v>55</v>
      </c>
      <c r="D35" s="102" t="s">
        <v>98</v>
      </c>
    </row>
    <row r="36" spans="1:4" ht="13.5" customHeight="1" x14ac:dyDescent="0.25">
      <c r="A36" s="99" t="s">
        <v>50</v>
      </c>
      <c r="B36" s="99">
        <v>1</v>
      </c>
      <c r="C36" s="89" t="s">
        <v>51</v>
      </c>
      <c r="D36" s="102"/>
    </row>
    <row r="37" spans="1:4" ht="13.5" customHeight="1" x14ac:dyDescent="0.25">
      <c r="A37" s="118" t="s">
        <v>18</v>
      </c>
      <c r="B37" s="118">
        <v>1</v>
      </c>
      <c r="C37" s="119" t="s">
        <v>37</v>
      </c>
      <c r="D37" s="102"/>
    </row>
    <row r="38" spans="1:4" ht="27.75" thickBot="1" x14ac:dyDescent="0.3">
      <c r="A38" s="116" t="s">
        <v>18</v>
      </c>
      <c r="B38" s="116">
        <v>1</v>
      </c>
      <c r="C38" s="117" t="s">
        <v>37</v>
      </c>
      <c r="D38" s="104"/>
    </row>
    <row r="39" spans="1:4" x14ac:dyDescent="0.25">
      <c r="A39" s="112"/>
      <c r="B39" s="112"/>
      <c r="C39" s="102"/>
      <c r="D39" s="102"/>
    </row>
    <row r="40" spans="1:4" ht="14.25" thickBot="1" x14ac:dyDescent="0.3">
      <c r="A40" s="112"/>
      <c r="B40" s="112"/>
      <c r="C40" s="102"/>
      <c r="D40" s="102"/>
    </row>
    <row r="41" spans="1:4" ht="14.25" thickBot="1" x14ac:dyDescent="0.3">
      <c r="A41" s="105" t="s">
        <v>39</v>
      </c>
      <c r="B41" s="105">
        <v>15</v>
      </c>
      <c r="C41" s="107" t="s">
        <v>40</v>
      </c>
      <c r="D41" s="106"/>
    </row>
    <row r="42" spans="1:4" ht="15" thickBot="1" x14ac:dyDescent="0.35">
      <c r="A42" s="108"/>
      <c r="B42" s="108"/>
      <c r="C42" s="108"/>
      <c r="D42" s="108"/>
    </row>
    <row r="43" spans="1:4" ht="18.75" thickBot="1" x14ac:dyDescent="0.3">
      <c r="A43" s="91" t="s">
        <v>25</v>
      </c>
      <c r="B43" s="92">
        <v>3</v>
      </c>
      <c r="C43" s="93" t="s">
        <v>52</v>
      </c>
      <c r="D43" s="94" t="s">
        <v>67</v>
      </c>
    </row>
    <row r="44" spans="1:4" x14ac:dyDescent="0.25">
      <c r="A44" s="128" t="s">
        <v>26</v>
      </c>
      <c r="B44" s="95" t="s">
        <v>61</v>
      </c>
      <c r="C44" s="128" t="s">
        <v>28</v>
      </c>
      <c r="D44" s="128" t="s">
        <v>29</v>
      </c>
    </row>
    <row r="45" spans="1:4" ht="14.25" thickBot="1" x14ac:dyDescent="0.3">
      <c r="A45" s="129"/>
      <c r="B45" s="96" t="s">
        <v>62</v>
      </c>
      <c r="C45" s="129"/>
      <c r="D45" s="129"/>
    </row>
    <row r="46" spans="1:4" x14ac:dyDescent="0.25">
      <c r="A46" s="99" t="s">
        <v>23</v>
      </c>
      <c r="B46" s="99">
        <v>1</v>
      </c>
      <c r="C46" s="100" t="s">
        <v>68</v>
      </c>
      <c r="D46" s="98"/>
    </row>
    <row r="47" spans="1:4" ht="40.5" x14ac:dyDescent="0.25">
      <c r="A47" s="99" t="s">
        <v>69</v>
      </c>
      <c r="B47" s="99">
        <v>1</v>
      </c>
      <c r="C47" s="100" t="s">
        <v>70</v>
      </c>
      <c r="D47" s="100"/>
    </row>
    <row r="48" spans="1:4" ht="40.5" x14ac:dyDescent="0.25">
      <c r="A48" s="99" t="s">
        <v>69</v>
      </c>
      <c r="B48" s="99">
        <v>1</v>
      </c>
      <c r="C48" s="100" t="s">
        <v>70</v>
      </c>
      <c r="D48" s="100"/>
    </row>
    <row r="49" spans="1:4" ht="40.5" x14ac:dyDescent="0.25">
      <c r="A49" s="99" t="s">
        <v>69</v>
      </c>
      <c r="B49" s="99">
        <v>1</v>
      </c>
      <c r="C49" s="100" t="s">
        <v>70</v>
      </c>
      <c r="D49" s="100"/>
    </row>
    <row r="50" spans="1:4" ht="40.5" x14ac:dyDescent="0.25">
      <c r="A50" s="99" t="s">
        <v>69</v>
      </c>
      <c r="B50" s="99">
        <v>1</v>
      </c>
      <c r="C50" s="100" t="s">
        <v>70</v>
      </c>
      <c r="D50" s="100"/>
    </row>
    <row r="51" spans="1:4" ht="40.5" x14ac:dyDescent="0.25">
      <c r="A51" s="99" t="s">
        <v>71</v>
      </c>
      <c r="B51" s="99">
        <v>1</v>
      </c>
      <c r="C51" s="100" t="s">
        <v>72</v>
      </c>
      <c r="D51" s="100"/>
    </row>
    <row r="52" spans="1:4" ht="40.5" x14ac:dyDescent="0.25">
      <c r="A52" s="99" t="s">
        <v>71</v>
      </c>
      <c r="B52" s="99">
        <v>1</v>
      </c>
      <c r="C52" s="100" t="s">
        <v>72</v>
      </c>
      <c r="D52" s="100"/>
    </row>
    <row r="53" spans="1:4" ht="40.5" x14ac:dyDescent="0.25">
      <c r="A53" s="99" t="s">
        <v>71</v>
      </c>
      <c r="B53" s="99">
        <v>1</v>
      </c>
      <c r="C53" s="100" t="s">
        <v>72</v>
      </c>
      <c r="D53" s="100"/>
    </row>
    <row r="54" spans="1:4" ht="40.5" x14ac:dyDescent="0.25">
      <c r="A54" s="99" t="s">
        <v>71</v>
      </c>
      <c r="B54" s="99">
        <v>1</v>
      </c>
      <c r="C54" s="100" t="s">
        <v>72</v>
      </c>
      <c r="D54" s="100"/>
    </row>
    <row r="55" spans="1:4" ht="27" x14ac:dyDescent="0.25">
      <c r="A55" s="99" t="s">
        <v>73</v>
      </c>
      <c r="B55" s="99">
        <v>1</v>
      </c>
      <c r="C55" s="100" t="s">
        <v>74</v>
      </c>
      <c r="D55" s="100"/>
    </row>
    <row r="56" spans="1:4" ht="27" x14ac:dyDescent="0.25">
      <c r="A56" s="99" t="s">
        <v>75</v>
      </c>
      <c r="B56" s="99">
        <v>1</v>
      </c>
      <c r="C56" s="100" t="s">
        <v>76</v>
      </c>
      <c r="D56" s="100"/>
    </row>
    <row r="57" spans="1:4" ht="27" x14ac:dyDescent="0.25">
      <c r="A57" s="99" t="s">
        <v>75</v>
      </c>
      <c r="B57" s="99">
        <v>1</v>
      </c>
      <c r="C57" s="100" t="s">
        <v>76</v>
      </c>
      <c r="D57" s="102"/>
    </row>
    <row r="58" spans="1:4" ht="27" x14ac:dyDescent="0.25">
      <c r="A58" s="99" t="s">
        <v>75</v>
      </c>
      <c r="B58" s="99">
        <v>1</v>
      </c>
      <c r="C58" s="100" t="s">
        <v>76</v>
      </c>
      <c r="D58" s="102"/>
    </row>
    <row r="59" spans="1:4" ht="27.75" thickBot="1" x14ac:dyDescent="0.3">
      <c r="A59" s="103" t="s">
        <v>18</v>
      </c>
      <c r="B59" s="103">
        <v>1</v>
      </c>
      <c r="C59" s="104" t="s">
        <v>37</v>
      </c>
      <c r="D59" s="104" t="s">
        <v>38</v>
      </c>
    </row>
    <row r="60" spans="1:4" ht="27.75" thickBot="1" x14ac:dyDescent="0.3">
      <c r="A60" s="103" t="s">
        <v>18</v>
      </c>
      <c r="B60" s="103">
        <v>1</v>
      </c>
      <c r="C60" s="104" t="s">
        <v>37</v>
      </c>
      <c r="D60" s="104" t="s">
        <v>38</v>
      </c>
    </row>
    <row r="61" spans="1:4" x14ac:dyDescent="0.25">
      <c r="A61" s="112"/>
      <c r="B61" s="120"/>
      <c r="C61" s="121"/>
      <c r="D61" s="121"/>
    </row>
    <row r="62" spans="1:4" ht="15" thickBot="1" x14ac:dyDescent="0.35">
      <c r="A62" s="108"/>
      <c r="B62" s="108"/>
      <c r="C62" s="108"/>
      <c r="D62" s="108"/>
    </row>
    <row r="63" spans="1:4" ht="18.75" thickBot="1" x14ac:dyDescent="0.3">
      <c r="A63" s="91" t="s">
        <v>25</v>
      </c>
      <c r="B63" s="92">
        <v>4</v>
      </c>
      <c r="C63" s="93" t="s">
        <v>52</v>
      </c>
      <c r="D63" s="94" t="s">
        <v>77</v>
      </c>
    </row>
    <row r="64" spans="1:4" x14ac:dyDescent="0.25">
      <c r="A64" s="128" t="s">
        <v>26</v>
      </c>
      <c r="B64" s="95" t="s">
        <v>61</v>
      </c>
      <c r="C64" s="128" t="s">
        <v>28</v>
      </c>
      <c r="D64" s="128" t="s">
        <v>29</v>
      </c>
    </row>
    <row r="65" spans="1:4" ht="14.25" thickBot="1" x14ac:dyDescent="0.3">
      <c r="A65" s="129"/>
      <c r="B65" s="96" t="s">
        <v>62</v>
      </c>
      <c r="C65" s="129"/>
      <c r="D65" s="129"/>
    </row>
    <row r="66" spans="1:4" x14ac:dyDescent="0.25">
      <c r="A66" s="99" t="s">
        <v>23</v>
      </c>
      <c r="B66" s="99">
        <v>1</v>
      </c>
      <c r="C66" s="100" t="s">
        <v>68</v>
      </c>
      <c r="D66" s="98"/>
    </row>
    <row r="67" spans="1:4" ht="54" x14ac:dyDescent="0.25">
      <c r="A67" s="99" t="s">
        <v>69</v>
      </c>
      <c r="B67" s="99">
        <v>1</v>
      </c>
      <c r="C67" s="100" t="s">
        <v>78</v>
      </c>
      <c r="D67" s="100"/>
    </row>
    <row r="68" spans="1:4" ht="54" x14ac:dyDescent="0.25">
      <c r="A68" s="99" t="s">
        <v>69</v>
      </c>
      <c r="B68" s="99">
        <v>1</v>
      </c>
      <c r="C68" s="100" t="s">
        <v>78</v>
      </c>
      <c r="D68" s="100"/>
    </row>
    <row r="69" spans="1:4" ht="54" x14ac:dyDescent="0.25">
      <c r="A69" s="99" t="s">
        <v>69</v>
      </c>
      <c r="B69" s="99">
        <v>1</v>
      </c>
      <c r="C69" s="100" t="s">
        <v>78</v>
      </c>
      <c r="D69" s="100"/>
    </row>
    <row r="70" spans="1:4" ht="54" x14ac:dyDescent="0.25">
      <c r="A70" s="99" t="s">
        <v>69</v>
      </c>
      <c r="B70" s="99">
        <v>1</v>
      </c>
      <c r="C70" s="100" t="s">
        <v>78</v>
      </c>
      <c r="D70" s="100"/>
    </row>
    <row r="71" spans="1:4" ht="54" x14ac:dyDescent="0.25">
      <c r="A71" s="99" t="s">
        <v>71</v>
      </c>
      <c r="B71" s="99">
        <v>1</v>
      </c>
      <c r="C71" s="100" t="s">
        <v>79</v>
      </c>
      <c r="D71" s="100"/>
    </row>
    <row r="72" spans="1:4" ht="54" x14ac:dyDescent="0.25">
      <c r="A72" s="99" t="s">
        <v>71</v>
      </c>
      <c r="B72" s="99">
        <v>1</v>
      </c>
      <c r="C72" s="100" t="s">
        <v>79</v>
      </c>
      <c r="D72" s="100"/>
    </row>
    <row r="73" spans="1:4" ht="54" x14ac:dyDescent="0.25">
      <c r="A73" s="99" t="s">
        <v>71</v>
      </c>
      <c r="B73" s="99">
        <v>1</v>
      </c>
      <c r="C73" s="100" t="s">
        <v>79</v>
      </c>
      <c r="D73" s="100"/>
    </row>
    <row r="74" spans="1:4" x14ac:dyDescent="0.25">
      <c r="A74" s="99" t="s">
        <v>43</v>
      </c>
      <c r="B74" s="99">
        <v>1</v>
      </c>
      <c r="C74" s="100" t="s">
        <v>80</v>
      </c>
      <c r="D74" s="100"/>
    </row>
    <row r="75" spans="1:4" x14ac:dyDescent="0.25">
      <c r="A75" s="99" t="s">
        <v>43</v>
      </c>
      <c r="B75" s="99">
        <v>1</v>
      </c>
      <c r="C75" s="100" t="s">
        <v>80</v>
      </c>
      <c r="D75" s="100"/>
    </row>
    <row r="76" spans="1:4" x14ac:dyDescent="0.25">
      <c r="A76" s="99" t="s">
        <v>43</v>
      </c>
      <c r="B76" s="99">
        <v>1</v>
      </c>
      <c r="C76" s="100" t="s">
        <v>80</v>
      </c>
      <c r="D76" s="100"/>
    </row>
    <row r="77" spans="1:4" x14ac:dyDescent="0.25">
      <c r="A77" s="112"/>
      <c r="B77" s="112"/>
      <c r="C77" s="102"/>
      <c r="D77" s="100"/>
    </row>
    <row r="78" spans="1:4" x14ac:dyDescent="0.25">
      <c r="A78" s="112"/>
      <c r="B78" s="112"/>
      <c r="C78" s="102"/>
      <c r="D78" s="102"/>
    </row>
    <row r="79" spans="1:4" ht="27.75" thickBot="1" x14ac:dyDescent="0.3">
      <c r="A79" s="103" t="s">
        <v>18</v>
      </c>
      <c r="B79" s="103">
        <v>1</v>
      </c>
      <c r="C79" s="104" t="s">
        <v>37</v>
      </c>
      <c r="D79" s="102"/>
    </row>
    <row r="80" spans="1:4" ht="27.75" thickBot="1" x14ac:dyDescent="0.3">
      <c r="A80" s="103" t="s">
        <v>18</v>
      </c>
      <c r="B80" s="103">
        <v>1</v>
      </c>
      <c r="C80" s="104" t="s">
        <v>37</v>
      </c>
      <c r="D80" s="104"/>
    </row>
    <row r="81" spans="1:4" ht="14.25" thickBot="1" x14ac:dyDescent="0.3">
      <c r="A81" s="105" t="s">
        <v>39</v>
      </c>
      <c r="B81" s="105">
        <v>13</v>
      </c>
      <c r="C81" s="107" t="s">
        <v>40</v>
      </c>
      <c r="D81" s="106"/>
    </row>
    <row r="82" spans="1:4" ht="15" thickBot="1" x14ac:dyDescent="0.35">
      <c r="A82" s="108"/>
      <c r="B82" s="108"/>
      <c r="C82" s="108"/>
      <c r="D82" s="108"/>
    </row>
    <row r="83" spans="1:4" ht="18.75" thickBot="1" x14ac:dyDescent="0.3">
      <c r="A83" s="91" t="s">
        <v>25</v>
      </c>
      <c r="B83" s="92">
        <v>5</v>
      </c>
      <c r="C83" s="93" t="s">
        <v>52</v>
      </c>
      <c r="D83" s="94" t="s">
        <v>95</v>
      </c>
    </row>
    <row r="84" spans="1:4" x14ac:dyDescent="0.25">
      <c r="A84" s="128" t="s">
        <v>26</v>
      </c>
      <c r="B84" s="95" t="s">
        <v>61</v>
      </c>
      <c r="C84" s="128" t="s">
        <v>28</v>
      </c>
      <c r="D84" s="128" t="s">
        <v>29</v>
      </c>
    </row>
    <row r="85" spans="1:4" ht="14.25" thickBot="1" x14ac:dyDescent="0.3">
      <c r="A85" s="129"/>
      <c r="B85" s="96" t="s">
        <v>62</v>
      </c>
      <c r="C85" s="129"/>
      <c r="D85" s="129"/>
    </row>
    <row r="86" spans="1:4" x14ac:dyDescent="0.25">
      <c r="A86" s="1" t="s">
        <v>23</v>
      </c>
      <c r="B86" s="2">
        <v>1</v>
      </c>
      <c r="C86" s="86" t="s">
        <v>30</v>
      </c>
      <c r="D86" s="98"/>
    </row>
    <row r="87" spans="1:4" x14ac:dyDescent="0.25">
      <c r="A87" s="99" t="s">
        <v>71</v>
      </c>
      <c r="B87" s="99">
        <v>1</v>
      </c>
      <c r="C87" s="100" t="s">
        <v>85</v>
      </c>
      <c r="D87" s="100"/>
    </row>
    <row r="88" spans="1:4" x14ac:dyDescent="0.25">
      <c r="A88" s="99" t="s">
        <v>71</v>
      </c>
      <c r="B88" s="99">
        <v>1</v>
      </c>
      <c r="C88" s="100" t="s">
        <v>89</v>
      </c>
      <c r="D88" s="100"/>
    </row>
    <row r="89" spans="1:4" x14ac:dyDescent="0.25">
      <c r="A89" s="122" t="s">
        <v>88</v>
      </c>
      <c r="B89" s="99">
        <v>1</v>
      </c>
      <c r="C89" s="100" t="s">
        <v>88</v>
      </c>
      <c r="D89" s="100" t="s">
        <v>99</v>
      </c>
    </row>
    <row r="90" spans="1:4" x14ac:dyDescent="0.25">
      <c r="A90" s="122" t="s">
        <v>88</v>
      </c>
      <c r="B90" s="99">
        <v>1</v>
      </c>
      <c r="C90" s="100" t="s">
        <v>101</v>
      </c>
      <c r="D90" s="100" t="s">
        <v>99</v>
      </c>
    </row>
    <row r="91" spans="1:4" x14ac:dyDescent="0.25">
      <c r="A91" s="122" t="s">
        <v>88</v>
      </c>
      <c r="B91" s="99">
        <v>1</v>
      </c>
      <c r="C91" s="100" t="s">
        <v>103</v>
      </c>
      <c r="D91" s="100" t="s">
        <v>99</v>
      </c>
    </row>
    <row r="92" spans="1:4" x14ac:dyDescent="0.25">
      <c r="A92" s="99" t="s">
        <v>87</v>
      </c>
      <c r="B92" s="99">
        <v>1</v>
      </c>
      <c r="C92" s="100" t="s">
        <v>86</v>
      </c>
      <c r="D92" s="100" t="s">
        <v>100</v>
      </c>
    </row>
    <row r="93" spans="1:4" x14ac:dyDescent="0.25">
      <c r="A93" s="99" t="s">
        <v>87</v>
      </c>
      <c r="B93" s="99">
        <v>1</v>
      </c>
      <c r="C93" s="100" t="s">
        <v>102</v>
      </c>
      <c r="D93" s="100" t="s">
        <v>100</v>
      </c>
    </row>
    <row r="94" spans="1:4" x14ac:dyDescent="0.25">
      <c r="A94" s="99" t="s">
        <v>87</v>
      </c>
      <c r="B94" s="99">
        <v>1</v>
      </c>
      <c r="C94" s="100" t="s">
        <v>104</v>
      </c>
      <c r="D94" s="100" t="s">
        <v>100</v>
      </c>
    </row>
    <row r="95" spans="1:4" x14ac:dyDescent="0.25">
      <c r="A95" s="99" t="s">
        <v>90</v>
      </c>
      <c r="B95" s="99">
        <v>1</v>
      </c>
      <c r="C95" s="100" t="s">
        <v>92</v>
      </c>
      <c r="D95" s="100" t="s">
        <v>91</v>
      </c>
    </row>
    <row r="96" spans="1:4" ht="27" x14ac:dyDescent="0.25">
      <c r="A96" s="99" t="s">
        <v>90</v>
      </c>
      <c r="B96" s="99">
        <v>1</v>
      </c>
      <c r="C96" s="100" t="s">
        <v>107</v>
      </c>
      <c r="D96" s="100" t="s">
        <v>93</v>
      </c>
    </row>
    <row r="97" spans="1:8" x14ac:dyDescent="0.25">
      <c r="A97" s="99" t="s">
        <v>90</v>
      </c>
      <c r="B97" s="99">
        <v>1</v>
      </c>
      <c r="C97" s="100" t="s">
        <v>94</v>
      </c>
      <c r="D97" s="100"/>
    </row>
    <row r="98" spans="1:8" ht="27" x14ac:dyDescent="0.25">
      <c r="A98" s="99" t="s">
        <v>96</v>
      </c>
      <c r="B98" s="99">
        <v>1</v>
      </c>
      <c r="C98" s="114" t="s">
        <v>97</v>
      </c>
      <c r="D98" s="102"/>
    </row>
    <row r="99" spans="1:8" ht="27.75" thickBot="1" x14ac:dyDescent="0.3">
      <c r="A99" s="103" t="s">
        <v>18</v>
      </c>
      <c r="B99" s="103">
        <v>1</v>
      </c>
      <c r="C99" s="104" t="s">
        <v>37</v>
      </c>
      <c r="D99" s="102"/>
    </row>
    <row r="100" spans="1:8" ht="27.75" thickBot="1" x14ac:dyDescent="0.3">
      <c r="A100" s="103" t="s">
        <v>18</v>
      </c>
      <c r="B100" s="103">
        <v>1</v>
      </c>
      <c r="C100" s="104" t="s">
        <v>37</v>
      </c>
      <c r="D100" s="104"/>
    </row>
    <row r="101" spans="1:8" ht="14.25" thickBot="1" x14ac:dyDescent="0.3">
      <c r="A101" s="105" t="s">
        <v>39</v>
      </c>
      <c r="B101" s="105">
        <f>SUM(B86:B100)</f>
        <v>15</v>
      </c>
      <c r="C101" s="107" t="s">
        <v>40</v>
      </c>
      <c r="D101" s="106"/>
    </row>
    <row r="102" spans="1:8" ht="15" thickBot="1" x14ac:dyDescent="0.35">
      <c r="A102" s="108"/>
      <c r="B102" s="108"/>
      <c r="C102" s="108"/>
      <c r="D102" s="108"/>
    </row>
    <row r="103" spans="1:8" ht="18.75" thickBot="1" x14ac:dyDescent="0.3">
      <c r="A103" s="91" t="s">
        <v>25</v>
      </c>
      <c r="B103" s="92">
        <v>6</v>
      </c>
      <c r="C103" s="93" t="s">
        <v>13</v>
      </c>
      <c r="D103" s="94" t="s">
        <v>81</v>
      </c>
      <c r="E103" s="91" t="s">
        <v>25</v>
      </c>
      <c r="F103" s="92">
        <v>6</v>
      </c>
      <c r="G103" s="132" t="s">
        <v>115</v>
      </c>
      <c r="H103" s="133" t="s">
        <v>81</v>
      </c>
    </row>
    <row r="104" spans="1:8" ht="13.5" customHeight="1" x14ac:dyDescent="0.25">
      <c r="A104" s="128" t="s">
        <v>26</v>
      </c>
      <c r="B104" s="95" t="s">
        <v>61</v>
      </c>
      <c r="C104" s="128" t="s">
        <v>28</v>
      </c>
      <c r="D104" s="128" t="s">
        <v>29</v>
      </c>
      <c r="E104" s="128" t="s">
        <v>26</v>
      </c>
      <c r="F104" s="95" t="s">
        <v>61</v>
      </c>
      <c r="G104" s="128" t="s">
        <v>28</v>
      </c>
      <c r="H104" s="128" t="s">
        <v>29</v>
      </c>
    </row>
    <row r="105" spans="1:8" ht="14.25" customHeight="1" thickBot="1" x14ac:dyDescent="0.3">
      <c r="A105" s="129"/>
      <c r="B105" s="96" t="s">
        <v>62</v>
      </c>
      <c r="C105" s="129"/>
      <c r="D105" s="129"/>
      <c r="E105" s="129"/>
      <c r="F105" s="96" t="s">
        <v>62</v>
      </c>
      <c r="G105" s="129"/>
      <c r="H105" s="129"/>
    </row>
    <row r="106" spans="1:8" ht="14.25" customHeight="1" x14ac:dyDescent="0.25">
      <c r="A106" s="1" t="s">
        <v>23</v>
      </c>
      <c r="B106" s="2">
        <v>1</v>
      </c>
      <c r="C106" s="86" t="s">
        <v>30</v>
      </c>
      <c r="D106" s="9"/>
      <c r="E106" s="88" t="s">
        <v>114</v>
      </c>
      <c r="F106" s="2">
        <v>1</v>
      </c>
      <c r="G106" s="86" t="s">
        <v>116</v>
      </c>
      <c r="H106" s="9"/>
    </row>
    <row r="107" spans="1:8" ht="14.25" x14ac:dyDescent="0.25">
      <c r="A107" s="88" t="s">
        <v>108</v>
      </c>
      <c r="B107" s="2">
        <v>1</v>
      </c>
      <c r="C107" s="10"/>
      <c r="D107" s="10"/>
      <c r="E107" s="88" t="s">
        <v>114</v>
      </c>
      <c r="F107" s="2">
        <v>3</v>
      </c>
      <c r="G107" s="124" t="s">
        <v>117</v>
      </c>
      <c r="H107" s="10"/>
    </row>
    <row r="108" spans="1:8" ht="16.5" x14ac:dyDescent="0.3">
      <c r="A108" s="88" t="s">
        <v>108</v>
      </c>
      <c r="B108" s="2">
        <v>1</v>
      </c>
      <c r="C108" s="10"/>
      <c r="D108" s="10"/>
      <c r="E108" s="88" t="s">
        <v>114</v>
      </c>
      <c r="F108" s="2">
        <v>1</v>
      </c>
      <c r="G108" s="125" t="s">
        <v>118</v>
      </c>
      <c r="H108" s="10"/>
    </row>
    <row r="109" spans="1:8" x14ac:dyDescent="0.25">
      <c r="A109" s="88" t="s">
        <v>108</v>
      </c>
      <c r="B109" s="2">
        <v>1</v>
      </c>
      <c r="C109" s="10"/>
      <c r="D109" s="10"/>
      <c r="E109" s="88" t="s">
        <v>114</v>
      </c>
      <c r="F109" s="2">
        <v>1</v>
      </c>
      <c r="G109" s="113" t="s">
        <v>119</v>
      </c>
      <c r="H109" s="10"/>
    </row>
    <row r="110" spans="1:8" ht="14.25" thickBot="1" x14ac:dyDescent="0.3">
      <c r="A110" s="88" t="s">
        <v>108</v>
      </c>
      <c r="B110" s="2">
        <v>1</v>
      </c>
      <c r="C110" s="10"/>
      <c r="D110" s="10"/>
      <c r="E110" s="88" t="s">
        <v>114</v>
      </c>
      <c r="F110" s="2">
        <v>8</v>
      </c>
      <c r="G110" s="113" t="s">
        <v>120</v>
      </c>
      <c r="H110" s="113" t="s">
        <v>121</v>
      </c>
    </row>
    <row r="111" spans="1:8" ht="14.25" thickBot="1" x14ac:dyDescent="0.3">
      <c r="A111" s="88" t="s">
        <v>108</v>
      </c>
      <c r="B111" s="2">
        <v>1</v>
      </c>
      <c r="C111" s="10"/>
      <c r="D111" s="10"/>
      <c r="E111" s="105" t="s">
        <v>39</v>
      </c>
      <c r="F111" s="105">
        <f>SUM(F96:F110)</f>
        <v>20</v>
      </c>
      <c r="G111" s="107" t="s">
        <v>40</v>
      </c>
      <c r="H111" s="106"/>
    </row>
    <row r="112" spans="1:8" x14ac:dyDescent="0.25">
      <c r="A112" s="88" t="s">
        <v>108</v>
      </c>
      <c r="B112" s="2">
        <v>1</v>
      </c>
      <c r="C112" s="10"/>
      <c r="D112" s="10"/>
    </row>
    <row r="113" spans="1:4" x14ac:dyDescent="0.25">
      <c r="A113" s="88" t="s">
        <v>109</v>
      </c>
      <c r="B113" s="2">
        <v>1</v>
      </c>
      <c r="C113" s="113" t="s">
        <v>110</v>
      </c>
      <c r="D113" s="10"/>
    </row>
    <row r="114" spans="1:4" x14ac:dyDescent="0.25">
      <c r="A114" s="88" t="s">
        <v>109</v>
      </c>
      <c r="B114" s="2">
        <v>1</v>
      </c>
      <c r="C114" s="113" t="s">
        <v>110</v>
      </c>
      <c r="D114" s="10"/>
    </row>
    <row r="115" spans="1:4" ht="14.25" thickBot="1" x14ac:dyDescent="0.3">
      <c r="A115" s="88" t="s">
        <v>109</v>
      </c>
      <c r="B115" s="2">
        <v>1</v>
      </c>
      <c r="C115" s="113" t="s">
        <v>110</v>
      </c>
      <c r="D115" s="11" t="s">
        <v>38</v>
      </c>
    </row>
    <row r="116" spans="1:4" x14ac:dyDescent="0.25">
      <c r="A116" s="88" t="s">
        <v>109</v>
      </c>
      <c r="B116" s="2">
        <v>1</v>
      </c>
      <c r="C116" s="113" t="s">
        <v>110</v>
      </c>
      <c r="D116" s="100"/>
    </row>
    <row r="117" spans="1:4" x14ac:dyDescent="0.25">
      <c r="A117" s="88" t="s">
        <v>109</v>
      </c>
      <c r="B117" s="2">
        <v>1</v>
      </c>
      <c r="C117" s="113" t="s">
        <v>110</v>
      </c>
      <c r="D117" s="100"/>
    </row>
    <row r="118" spans="1:4" x14ac:dyDescent="0.25">
      <c r="A118" s="88" t="s">
        <v>111</v>
      </c>
      <c r="B118" s="2">
        <v>1</v>
      </c>
      <c r="C118" t="s">
        <v>112</v>
      </c>
      <c r="D118" s="102"/>
    </row>
    <row r="119" spans="1:4" x14ac:dyDescent="0.25">
      <c r="A119" s="88" t="s">
        <v>43</v>
      </c>
      <c r="B119" s="2">
        <v>1</v>
      </c>
      <c r="C119" s="102"/>
      <c r="D119" s="102"/>
    </row>
    <row r="120" spans="1:4" ht="27.75" thickBot="1" x14ac:dyDescent="0.3">
      <c r="A120" s="3" t="s">
        <v>18</v>
      </c>
      <c r="B120" s="3">
        <v>1</v>
      </c>
      <c r="C120" s="11" t="s">
        <v>37</v>
      </c>
      <c r="D120" s="104"/>
    </row>
    <row r="121" spans="1:4" ht="14.25" thickBot="1" x14ac:dyDescent="0.3">
      <c r="A121" s="105" t="s">
        <v>39</v>
      </c>
      <c r="B121" s="105">
        <f>SUM(B106:B120)</f>
        <v>15</v>
      </c>
      <c r="C121" s="107" t="s">
        <v>40</v>
      </c>
      <c r="D121" s="106"/>
    </row>
    <row r="122" spans="1:4" ht="15" thickBot="1" x14ac:dyDescent="0.35">
      <c r="A122" s="108"/>
      <c r="B122" s="108"/>
      <c r="C122" s="108"/>
      <c r="D122" s="108"/>
    </row>
    <row r="123" spans="1:4" ht="18.75" thickBot="1" x14ac:dyDescent="0.3">
      <c r="A123" s="91" t="s">
        <v>25</v>
      </c>
      <c r="B123" s="92">
        <v>7</v>
      </c>
      <c r="C123" s="93" t="s">
        <v>52</v>
      </c>
      <c r="D123" s="94" t="s">
        <v>82</v>
      </c>
    </row>
    <row r="124" spans="1:4" x14ac:dyDescent="0.25">
      <c r="A124" s="128" t="s">
        <v>26</v>
      </c>
      <c r="B124" s="95" t="s">
        <v>61</v>
      </c>
      <c r="C124" s="128" t="s">
        <v>28</v>
      </c>
      <c r="D124" s="128" t="s">
        <v>29</v>
      </c>
    </row>
    <row r="125" spans="1:4" ht="14.25" thickBot="1" x14ac:dyDescent="0.3">
      <c r="A125" s="129"/>
      <c r="B125" s="96" t="s">
        <v>62</v>
      </c>
      <c r="C125" s="129"/>
      <c r="D125" s="129"/>
    </row>
    <row r="126" spans="1:4" x14ac:dyDescent="0.25">
      <c r="A126" s="97"/>
      <c r="B126" s="97"/>
      <c r="C126" s="98"/>
      <c r="D126" s="98"/>
    </row>
    <row r="127" spans="1:4" x14ac:dyDescent="0.25">
      <c r="A127" s="99" t="s">
        <v>122</v>
      </c>
      <c r="B127" s="99"/>
      <c r="C127" s="100"/>
      <c r="D127" s="100"/>
    </row>
    <row r="128" spans="1:4" x14ac:dyDescent="0.25">
      <c r="A128" s="99"/>
      <c r="B128" s="99"/>
      <c r="C128" s="100"/>
      <c r="D128" s="100"/>
    </row>
    <row r="129" spans="1:4" x14ac:dyDescent="0.25">
      <c r="A129" s="99"/>
      <c r="B129" s="99"/>
      <c r="C129" s="100"/>
      <c r="D129" s="100"/>
    </row>
    <row r="130" spans="1:4" x14ac:dyDescent="0.25">
      <c r="A130" s="99"/>
      <c r="B130" s="99"/>
      <c r="C130" s="100"/>
      <c r="D130" s="100"/>
    </row>
    <row r="131" spans="1:4" x14ac:dyDescent="0.25">
      <c r="A131" s="99"/>
      <c r="B131" s="99"/>
      <c r="C131" s="100"/>
      <c r="D131" s="100"/>
    </row>
    <row r="132" spans="1:4" x14ac:dyDescent="0.25">
      <c r="A132" s="99"/>
      <c r="B132" s="99"/>
      <c r="C132" s="100"/>
      <c r="D132" s="100"/>
    </row>
    <row r="133" spans="1:4" x14ac:dyDescent="0.25">
      <c r="A133" s="99"/>
      <c r="B133" s="99"/>
      <c r="C133" s="100"/>
      <c r="D133" s="100"/>
    </row>
    <row r="134" spans="1:4" x14ac:dyDescent="0.25">
      <c r="A134" s="99"/>
      <c r="B134" s="99"/>
      <c r="C134" s="100"/>
      <c r="D134" s="100"/>
    </row>
    <row r="135" spans="1:4" x14ac:dyDescent="0.25">
      <c r="A135" s="99"/>
      <c r="B135" s="99"/>
      <c r="C135" s="100"/>
      <c r="D135" s="100"/>
    </row>
    <row r="136" spans="1:4" x14ac:dyDescent="0.25">
      <c r="A136" s="99"/>
      <c r="B136" s="99"/>
      <c r="C136" s="100"/>
      <c r="D136" s="100"/>
    </row>
    <row r="137" spans="1:4" x14ac:dyDescent="0.25">
      <c r="A137" s="99"/>
      <c r="B137" s="99"/>
      <c r="C137" s="100"/>
      <c r="D137" s="100"/>
    </row>
    <row r="138" spans="1:4" x14ac:dyDescent="0.25">
      <c r="A138" s="101"/>
      <c r="B138" s="101"/>
      <c r="C138" s="102"/>
      <c r="D138" s="102"/>
    </row>
    <row r="139" spans="1:4" x14ac:dyDescent="0.25">
      <c r="A139" s="101"/>
      <c r="B139" s="101"/>
      <c r="C139" s="102"/>
      <c r="D139" s="102"/>
    </row>
    <row r="140" spans="1:4" ht="14.25" thickBot="1" x14ac:dyDescent="0.3">
      <c r="A140" s="103"/>
      <c r="B140" s="103"/>
      <c r="C140" s="104"/>
      <c r="D140" s="104"/>
    </row>
    <row r="141" spans="1:4" ht="14.25" thickBot="1" x14ac:dyDescent="0.3">
      <c r="A141" s="105" t="s">
        <v>39</v>
      </c>
      <c r="B141" s="105">
        <v>0</v>
      </c>
      <c r="C141" s="107" t="s">
        <v>40</v>
      </c>
      <c r="D141" s="106"/>
    </row>
    <row r="142" spans="1:4" ht="15" thickBot="1" x14ac:dyDescent="0.35">
      <c r="A142" s="108"/>
      <c r="B142" s="108"/>
      <c r="C142" s="108"/>
      <c r="D142" s="108"/>
    </row>
    <row r="143" spans="1:4" ht="18.75" thickBot="1" x14ac:dyDescent="0.3">
      <c r="A143" s="91" t="s">
        <v>25</v>
      </c>
      <c r="B143" s="92">
        <v>8</v>
      </c>
      <c r="C143" s="93" t="s">
        <v>52</v>
      </c>
      <c r="D143" s="94" t="s">
        <v>83</v>
      </c>
    </row>
    <row r="144" spans="1:4" x14ac:dyDescent="0.25">
      <c r="A144" s="128" t="s">
        <v>26</v>
      </c>
      <c r="B144" s="95" t="s">
        <v>61</v>
      </c>
      <c r="C144" s="128" t="s">
        <v>28</v>
      </c>
      <c r="D144" s="128" t="s">
        <v>29</v>
      </c>
    </row>
    <row r="145" spans="1:4" ht="14.25" thickBot="1" x14ac:dyDescent="0.3">
      <c r="A145" s="129"/>
      <c r="B145" s="96" t="s">
        <v>62</v>
      </c>
      <c r="C145" s="129"/>
      <c r="D145" s="129"/>
    </row>
    <row r="146" spans="1:4" x14ac:dyDescent="0.25">
      <c r="A146" s="97"/>
      <c r="B146" s="97"/>
      <c r="C146" s="98"/>
      <c r="D146" s="98"/>
    </row>
    <row r="147" spans="1:4" x14ac:dyDescent="0.25">
      <c r="A147" s="99"/>
      <c r="B147" s="99"/>
      <c r="C147" s="100"/>
      <c r="D147" s="100"/>
    </row>
    <row r="148" spans="1:4" x14ac:dyDescent="0.25">
      <c r="A148" s="99"/>
      <c r="B148" s="99"/>
      <c r="C148" s="100"/>
      <c r="D148" s="100"/>
    </row>
    <row r="149" spans="1:4" x14ac:dyDescent="0.25">
      <c r="A149" s="99"/>
      <c r="B149" s="99"/>
      <c r="C149" s="100"/>
      <c r="D149" s="100"/>
    </row>
    <row r="150" spans="1:4" x14ac:dyDescent="0.25">
      <c r="A150" s="99"/>
      <c r="B150" s="99"/>
      <c r="C150" s="100"/>
      <c r="D150" s="100"/>
    </row>
    <row r="151" spans="1:4" x14ac:dyDescent="0.25">
      <c r="A151" s="99"/>
      <c r="B151" s="99"/>
      <c r="C151" s="100"/>
      <c r="D151" s="100"/>
    </row>
    <row r="152" spans="1:4" x14ac:dyDescent="0.25">
      <c r="A152" s="99"/>
      <c r="B152" s="99"/>
      <c r="C152" s="100"/>
      <c r="D152" s="100"/>
    </row>
    <row r="153" spans="1:4" x14ac:dyDescent="0.25">
      <c r="A153" s="99"/>
      <c r="B153" s="99"/>
      <c r="C153" s="100"/>
      <c r="D153" s="100"/>
    </row>
    <row r="154" spans="1:4" x14ac:dyDescent="0.25">
      <c r="A154" s="99"/>
      <c r="B154" s="99"/>
      <c r="C154" s="100"/>
      <c r="D154" s="100"/>
    </row>
    <row r="155" spans="1:4" x14ac:dyDescent="0.25">
      <c r="A155" s="99"/>
      <c r="B155" s="99"/>
      <c r="C155" s="100"/>
      <c r="D155" s="100"/>
    </row>
    <row r="156" spans="1:4" x14ac:dyDescent="0.25">
      <c r="A156" s="99"/>
      <c r="B156" s="99"/>
      <c r="C156" s="100"/>
      <c r="D156" s="100"/>
    </row>
    <row r="157" spans="1:4" x14ac:dyDescent="0.25">
      <c r="A157" s="99"/>
      <c r="B157" s="99"/>
      <c r="C157" s="100"/>
      <c r="D157" s="100"/>
    </row>
    <row r="158" spans="1:4" x14ac:dyDescent="0.25">
      <c r="A158" s="101"/>
      <c r="B158" s="101"/>
      <c r="C158" s="102"/>
      <c r="D158" s="102"/>
    </row>
    <row r="159" spans="1:4" x14ac:dyDescent="0.25">
      <c r="A159" s="101"/>
      <c r="B159" s="101"/>
      <c r="C159" s="102"/>
      <c r="D159" s="102"/>
    </row>
    <row r="160" spans="1:4" ht="14.25" thickBot="1" x14ac:dyDescent="0.3">
      <c r="A160" s="103"/>
      <c r="B160" s="103"/>
      <c r="C160" s="104"/>
      <c r="D160" s="104"/>
    </row>
    <row r="161" spans="1:4" ht="14.25" thickBot="1" x14ac:dyDescent="0.3">
      <c r="A161" s="105" t="s">
        <v>39</v>
      </c>
      <c r="B161" s="105">
        <v>0</v>
      </c>
      <c r="C161" s="107" t="s">
        <v>40</v>
      </c>
      <c r="D161" s="106"/>
    </row>
    <row r="162" spans="1:4" ht="14.25" x14ac:dyDescent="0.3">
      <c r="A162" s="108"/>
      <c r="B162" s="108"/>
      <c r="C162" s="108"/>
      <c r="D162" s="108"/>
    </row>
  </sheetData>
  <mergeCells count="27">
    <mergeCell ref="D44:D45"/>
    <mergeCell ref="A2:A3"/>
    <mergeCell ref="C2:C3"/>
    <mergeCell ref="D2:D3"/>
    <mergeCell ref="A22:A23"/>
    <mergeCell ref="C22:C23"/>
    <mergeCell ref="D22:D23"/>
    <mergeCell ref="A44:A45"/>
    <mergeCell ref="C44:C45"/>
    <mergeCell ref="A64:A65"/>
    <mergeCell ref="C64:C65"/>
    <mergeCell ref="D64:D65"/>
    <mergeCell ref="A84:A85"/>
    <mergeCell ref="C84:C85"/>
    <mergeCell ref="D84:D85"/>
    <mergeCell ref="E104:E105"/>
    <mergeCell ref="G104:G105"/>
    <mergeCell ref="H104:H105"/>
    <mergeCell ref="A144:A145"/>
    <mergeCell ref="C144:C145"/>
    <mergeCell ref="D144:D145"/>
    <mergeCell ref="A104:A105"/>
    <mergeCell ref="C104:C105"/>
    <mergeCell ref="D104:D105"/>
    <mergeCell ref="A124:A125"/>
    <mergeCell ref="C124:C125"/>
    <mergeCell ref="D124:D125"/>
  </mergeCells>
  <dataValidations count="2">
    <dataValidation type="whole" errorStyle="warning" operator="greaterThan" allowBlank="1" showInputMessage="1" showErrorMessage="1" errorTitle="Durée en 1/3 de période" error="Le nombre doit être de type entier" sqref="B86 B106:B120 F106:F110" xr:uid="{2B37498C-2604-4735-AB4B-F18A40C20812}">
      <formula1>0</formula1>
    </dataValidation>
    <dataValidation type="list" allowBlank="1" showInputMessage="1" showErrorMessage="1" sqref="A86 A106:A120 E106:E110" xr:uid="{30112EE5-F872-4E4F-9E27-83780CE29465}">
      <formula1>lstTasks</formula1>
    </dataValidation>
  </dataValidations>
  <hyperlinks>
    <hyperlink ref="D25" r:id="rId1" display="https://www.w3schools.com/CSSref/sel_hover.php" xr:uid="{BAFAF091-1F28-4BE3-9F31-27AB4BA5474C}"/>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56</v>
      </c>
      <c r="C2" s="15" t="s">
        <v>57</v>
      </c>
    </row>
    <row r="3" spans="1:4" ht="19.5" customHeight="1" x14ac:dyDescent="0.25">
      <c r="A3" s="19"/>
      <c r="B3" s="130" t="s">
        <v>16</v>
      </c>
      <c r="C3" s="16">
        <v>0</v>
      </c>
    </row>
    <row r="4" spans="1:4" ht="19.5" customHeight="1" x14ac:dyDescent="0.25">
      <c r="A4" s="19"/>
      <c r="B4" s="131"/>
      <c r="C4" s="22">
        <v>0</v>
      </c>
      <c r="D4" s="29"/>
    </row>
    <row r="16" spans="1:4" ht="19.5" customHeight="1" x14ac:dyDescent="0.25">
      <c r="A16" s="41"/>
    </row>
  </sheetData>
  <mergeCells count="1">
    <mergeCell ref="B3:B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58</v>
      </c>
      <c r="C3" s="27">
        <v>0</v>
      </c>
    </row>
    <row r="4" spans="2:3" ht="18.75" thickBot="1" x14ac:dyDescent="0.3">
      <c r="B4" s="26" t="s">
        <v>59</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25</v>
      </c>
      <c r="B1" s="7">
        <v>1</v>
      </c>
      <c r="C1" s="17"/>
      <c r="D1" s="85"/>
    </row>
    <row r="2" spans="1:4" ht="27.75" thickBot="1" x14ac:dyDescent="0.3">
      <c r="A2" s="8" t="s">
        <v>26</v>
      </c>
      <c r="B2" s="18" t="s">
        <v>27</v>
      </c>
      <c r="C2" s="8" t="s">
        <v>28</v>
      </c>
      <c r="D2" s="8" t="s">
        <v>29</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39</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25</v>
      </c>
      <c r="B1" s="43">
        <v>1</v>
      </c>
      <c r="C1" s="44" t="s">
        <v>52</v>
      </c>
      <c r="D1" s="53"/>
    </row>
    <row r="2" spans="1:4" ht="27.75" thickBot="1" x14ac:dyDescent="0.3">
      <c r="A2" s="45" t="s">
        <v>26</v>
      </c>
      <c r="B2" s="46" t="s">
        <v>27</v>
      </c>
      <c r="C2" s="45" t="s">
        <v>28</v>
      </c>
      <c r="D2" s="45" t="s">
        <v>29</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39</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2CC07A01-2FFD-42C3-8E68-579A872613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9</vt:i4>
      </vt:variant>
    </vt:vector>
  </HeadingPairs>
  <TitlesOfParts>
    <vt:vector size="16" baseType="lpstr">
      <vt:lpstr>Donnees</vt:lpstr>
      <vt:lpstr>Planning</vt:lpstr>
      <vt:lpstr>JDT</vt:lpstr>
      <vt:lpstr>DiagramHeader</vt:lpstr>
      <vt:lpstr>DiagramFooter</vt:lpstr>
      <vt:lpstr>PlanificationWeek</vt:lpstr>
      <vt:lpstr>achievementWeek</vt:lpstr>
      <vt:lpstr>datDateBegin</vt:lpstr>
      <vt:lpstr>lstTasks</vt:lpstr>
      <vt:lpstr>NbPerWeek</vt:lpstr>
      <vt:lpstr>NbQuartPer</vt:lpstr>
      <vt:lpstr>NbWeeks</vt:lpstr>
      <vt:lpstr>objFooterDiagram</vt:lpstr>
      <vt:lpstr>objPlanifWeek</vt:lpstr>
      <vt:lpstr>achievementWeek!objRealizedWeek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Yosef Nademo</dc:creator>
  <cp:keywords/>
  <dc:description/>
  <cp:lastModifiedBy>Yosef Nademo</cp:lastModifiedBy>
  <cp:revision/>
  <dcterms:created xsi:type="dcterms:W3CDTF">1996-10-21T11:03:58Z</dcterms:created>
  <dcterms:modified xsi:type="dcterms:W3CDTF">2025-03-03T14:36:09Z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